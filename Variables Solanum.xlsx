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arre\Downloads\"/>
    </mc:Choice>
  </mc:AlternateContent>
  <bookViews>
    <workbookView xWindow="0" yWindow="0" windowWidth="21600" windowHeight="8663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I35" i="1" l="1"/>
  <c r="BH35" i="1"/>
  <c r="BE35" i="1"/>
  <c r="BD35" i="1"/>
  <c r="BC35" i="1"/>
  <c r="BB35" i="1"/>
  <c r="AX35" i="1"/>
  <c r="BK35" i="1" s="1"/>
  <c r="AW35" i="1"/>
  <c r="BJ35" i="1" s="1"/>
  <c r="AV35" i="1"/>
  <c r="AZ35" i="1" s="1"/>
  <c r="BM35" i="1" s="1"/>
  <c r="AU35" i="1"/>
  <c r="AY35" i="1" s="1"/>
  <c r="BL35" i="1" s="1"/>
  <c r="AE35" i="1"/>
  <c r="AD35" i="1"/>
  <c r="AG35" i="1" s="1"/>
  <c r="BG35" i="1" s="1"/>
  <c r="AC35" i="1"/>
  <c r="AB35" i="1"/>
  <c r="BK34" i="1"/>
  <c r="BJ34" i="1"/>
  <c r="BI34" i="1"/>
  <c r="BH34" i="1"/>
  <c r="BG34" i="1"/>
  <c r="BF34" i="1"/>
  <c r="BE34" i="1"/>
  <c r="BD34" i="1"/>
  <c r="BC34" i="1"/>
  <c r="BB34" i="1"/>
  <c r="AX34" i="1"/>
  <c r="AW34" i="1"/>
  <c r="AV34" i="1"/>
  <c r="AZ34" i="1" s="1"/>
  <c r="BM34" i="1" s="1"/>
  <c r="AU34" i="1"/>
  <c r="AY34" i="1" s="1"/>
  <c r="BL34" i="1" s="1"/>
  <c r="AG34" i="1"/>
  <c r="AF34" i="1"/>
  <c r="AE34" i="1"/>
  <c r="AD34" i="1"/>
  <c r="AC34" i="1"/>
  <c r="AB34" i="1"/>
  <c r="BL33" i="1"/>
  <c r="BK33" i="1"/>
  <c r="BJ33" i="1"/>
  <c r="BI33" i="1"/>
  <c r="BH33" i="1"/>
  <c r="BE33" i="1"/>
  <c r="BD33" i="1"/>
  <c r="AX33" i="1"/>
  <c r="AW33" i="1"/>
  <c r="AV33" i="1"/>
  <c r="AU33" i="1"/>
  <c r="AY33" i="1" s="1"/>
  <c r="AE33" i="1"/>
  <c r="AD33" i="1"/>
  <c r="AC33" i="1"/>
  <c r="BC33" i="1" s="1"/>
  <c r="AB33" i="1"/>
  <c r="BL32" i="1"/>
  <c r="BK32" i="1"/>
  <c r="BJ32" i="1"/>
  <c r="BI32" i="1"/>
  <c r="BH32" i="1"/>
  <c r="BE32" i="1"/>
  <c r="BD32" i="1"/>
  <c r="AY32" i="1"/>
  <c r="AX32" i="1"/>
  <c r="AZ32" i="1" s="1"/>
  <c r="BM32" i="1" s="1"/>
  <c r="AW32" i="1"/>
  <c r="AV32" i="1"/>
  <c r="AU32" i="1"/>
  <c r="AE32" i="1"/>
  <c r="AD32" i="1"/>
  <c r="AC32" i="1"/>
  <c r="BC32" i="1" s="1"/>
  <c r="AB32" i="1"/>
  <c r="BM31" i="1"/>
  <c r="BL31" i="1"/>
  <c r="BK31" i="1"/>
  <c r="BJ31" i="1"/>
  <c r="BI31" i="1"/>
  <c r="BH31" i="1"/>
  <c r="BE31" i="1"/>
  <c r="BD31" i="1"/>
  <c r="AZ31" i="1"/>
  <c r="AY31" i="1"/>
  <c r="AX31" i="1"/>
  <c r="AW31" i="1"/>
  <c r="AV31" i="1"/>
  <c r="AU31" i="1"/>
  <c r="AE31" i="1"/>
  <c r="AD31" i="1"/>
  <c r="AC31" i="1"/>
  <c r="BC31" i="1" s="1"/>
  <c r="AB31" i="1"/>
  <c r="BK30" i="1"/>
  <c r="BJ30" i="1"/>
  <c r="BI30" i="1"/>
  <c r="BH30" i="1"/>
  <c r="AX30" i="1"/>
  <c r="AW30" i="1"/>
  <c r="AV30" i="1"/>
  <c r="AU30" i="1"/>
  <c r="AE30" i="1"/>
  <c r="BE30" i="1" s="1"/>
  <c r="AD30" i="1"/>
  <c r="BD30" i="1" s="1"/>
  <c r="AC30" i="1"/>
  <c r="BC30" i="1" s="1"/>
  <c r="AB30" i="1"/>
  <c r="BK29" i="1"/>
  <c r="BJ29" i="1"/>
  <c r="BI29" i="1"/>
  <c r="BH29" i="1"/>
  <c r="AX29" i="1"/>
  <c r="AW29" i="1"/>
  <c r="AV29" i="1"/>
  <c r="AU29" i="1"/>
  <c r="AE29" i="1"/>
  <c r="BE29" i="1" s="1"/>
  <c r="AD29" i="1"/>
  <c r="BD29" i="1" s="1"/>
  <c r="AC29" i="1"/>
  <c r="BC29" i="1" s="1"/>
  <c r="AB29" i="1"/>
  <c r="BB29" i="1" s="1"/>
  <c r="BM28" i="1"/>
  <c r="BL28" i="1"/>
  <c r="BK28" i="1"/>
  <c r="BJ28" i="1"/>
  <c r="BI28" i="1"/>
  <c r="BH28" i="1"/>
  <c r="AZ28" i="1"/>
  <c r="AY28" i="1"/>
  <c r="AX28" i="1"/>
  <c r="AW28" i="1"/>
  <c r="AV28" i="1"/>
  <c r="AU28" i="1"/>
  <c r="AE28" i="1"/>
  <c r="BE28" i="1" s="1"/>
  <c r="AD28" i="1"/>
  <c r="BD28" i="1" s="1"/>
  <c r="AC28" i="1"/>
  <c r="BC28" i="1" s="1"/>
  <c r="AB28" i="1"/>
  <c r="BB28" i="1" s="1"/>
  <c r="BK27" i="1"/>
  <c r="BJ27" i="1"/>
  <c r="BI27" i="1"/>
  <c r="BH27" i="1"/>
  <c r="BC27" i="1"/>
  <c r="BB27" i="1"/>
  <c r="AX27" i="1"/>
  <c r="AW27" i="1"/>
  <c r="AZ27" i="1" s="1"/>
  <c r="BM27" i="1" s="1"/>
  <c r="AV27" i="1"/>
  <c r="AU27" i="1"/>
  <c r="AE27" i="1"/>
  <c r="BE27" i="1" s="1"/>
  <c r="AD27" i="1"/>
  <c r="BD27" i="1" s="1"/>
  <c r="AC27" i="1"/>
  <c r="AB27" i="1"/>
  <c r="AG27" i="1" s="1"/>
  <c r="BG27" i="1" s="1"/>
  <c r="BK26" i="1"/>
  <c r="BJ26" i="1"/>
  <c r="BE26" i="1"/>
  <c r="BD26" i="1"/>
  <c r="BC26" i="1"/>
  <c r="BB26" i="1"/>
  <c r="AZ26" i="1"/>
  <c r="BM26" i="1" s="1"/>
  <c r="AX26" i="1"/>
  <c r="AW26" i="1"/>
  <c r="AV26" i="1"/>
  <c r="BI26" i="1" s="1"/>
  <c r="AU26" i="1"/>
  <c r="BH26" i="1" s="1"/>
  <c r="AE26" i="1"/>
  <c r="AD26" i="1"/>
  <c r="AC26" i="1"/>
  <c r="AG26" i="1" s="1"/>
  <c r="BG26" i="1" s="1"/>
  <c r="AB26" i="1"/>
  <c r="AF26" i="1" s="1"/>
  <c r="BF26" i="1" s="1"/>
  <c r="BE25" i="1"/>
  <c r="BD25" i="1"/>
  <c r="BC25" i="1"/>
  <c r="BB25" i="1"/>
  <c r="AY25" i="1"/>
  <c r="BL25" i="1" s="1"/>
  <c r="AX25" i="1"/>
  <c r="BK25" i="1" s="1"/>
  <c r="AW25" i="1"/>
  <c r="BJ25" i="1" s="1"/>
  <c r="AV25" i="1"/>
  <c r="BI25" i="1" s="1"/>
  <c r="AU25" i="1"/>
  <c r="BH25" i="1" s="1"/>
  <c r="AG25" i="1"/>
  <c r="BG25" i="1" s="1"/>
  <c r="AF25" i="1"/>
  <c r="BF25" i="1" s="1"/>
  <c r="AE25" i="1"/>
  <c r="AD25" i="1"/>
  <c r="AC25" i="1"/>
  <c r="AB25" i="1"/>
  <c r="BC24" i="1"/>
  <c r="BB24" i="1"/>
  <c r="AY24" i="1"/>
  <c r="BL24" i="1" s="1"/>
  <c r="AX24" i="1"/>
  <c r="BK24" i="1" s="1"/>
  <c r="AW24" i="1"/>
  <c r="BJ24" i="1" s="1"/>
  <c r="AV24" i="1"/>
  <c r="AU24" i="1"/>
  <c r="BH24" i="1" s="1"/>
  <c r="AE24" i="1"/>
  <c r="BE24" i="1" s="1"/>
  <c r="AD24" i="1"/>
  <c r="AG24" i="1" s="1"/>
  <c r="BG24" i="1" s="1"/>
  <c r="AC24" i="1"/>
  <c r="AB24" i="1"/>
  <c r="BE23" i="1"/>
  <c r="BD23" i="1"/>
  <c r="BC23" i="1"/>
  <c r="BB23" i="1"/>
  <c r="AX23" i="1"/>
  <c r="BK23" i="1" s="1"/>
  <c r="AW23" i="1"/>
  <c r="BJ23" i="1" s="1"/>
  <c r="AV23" i="1"/>
  <c r="AY23" i="1" s="1"/>
  <c r="BL23" i="1" s="1"/>
  <c r="AU23" i="1"/>
  <c r="BH23" i="1" s="1"/>
  <c r="AG23" i="1"/>
  <c r="BG23" i="1" s="1"/>
  <c r="AF23" i="1"/>
  <c r="BF23" i="1" s="1"/>
  <c r="AE23" i="1"/>
  <c r="AD23" i="1"/>
  <c r="AC23" i="1"/>
  <c r="AB23" i="1"/>
  <c r="BE22" i="1"/>
  <c r="BD22" i="1"/>
  <c r="BC22" i="1"/>
  <c r="BB22" i="1"/>
  <c r="AZ22" i="1"/>
  <c r="BM22" i="1" s="1"/>
  <c r="AY22" i="1"/>
  <c r="BL22" i="1" s="1"/>
  <c r="AX22" i="1"/>
  <c r="BK22" i="1" s="1"/>
  <c r="AW22" i="1"/>
  <c r="BJ22" i="1" s="1"/>
  <c r="AV22" i="1"/>
  <c r="BI22" i="1" s="1"/>
  <c r="AU22" i="1"/>
  <c r="BH22" i="1" s="1"/>
  <c r="AE22" i="1"/>
  <c r="AD22" i="1"/>
  <c r="AC22" i="1"/>
  <c r="AB22" i="1"/>
  <c r="BI21" i="1"/>
  <c r="BH21" i="1"/>
  <c r="BC21" i="1"/>
  <c r="BB21" i="1"/>
  <c r="AY21" i="1"/>
  <c r="BL21" i="1" s="1"/>
  <c r="AX21" i="1"/>
  <c r="BK21" i="1" s="1"/>
  <c r="AW21" i="1"/>
  <c r="BJ21" i="1" s="1"/>
  <c r="AV21" i="1"/>
  <c r="AU21" i="1"/>
  <c r="AE21" i="1"/>
  <c r="BE21" i="1" s="1"/>
  <c r="AD21" i="1"/>
  <c r="BD21" i="1" s="1"/>
  <c r="AC21" i="1"/>
  <c r="AB21" i="1"/>
  <c r="BK20" i="1"/>
  <c r="BJ20" i="1"/>
  <c r="BI20" i="1"/>
  <c r="BH20" i="1"/>
  <c r="BE20" i="1"/>
  <c r="BD20" i="1"/>
  <c r="BC20" i="1"/>
  <c r="BB20" i="1"/>
  <c r="AZ20" i="1"/>
  <c r="BM20" i="1" s="1"/>
  <c r="AY20" i="1"/>
  <c r="BL20" i="1" s="1"/>
  <c r="AX20" i="1"/>
  <c r="AW20" i="1"/>
  <c r="AV20" i="1"/>
  <c r="AU20" i="1"/>
  <c r="AG20" i="1"/>
  <c r="BG20" i="1" s="1"/>
  <c r="AF20" i="1"/>
  <c r="BF20" i="1" s="1"/>
  <c r="AE20" i="1"/>
  <c r="AD20" i="1"/>
  <c r="AC20" i="1"/>
  <c r="AB20" i="1"/>
  <c r="BK19" i="1"/>
  <c r="BJ19" i="1"/>
  <c r="BE19" i="1"/>
  <c r="BD19" i="1"/>
  <c r="BC19" i="1"/>
  <c r="BB19" i="1"/>
  <c r="AX19" i="1"/>
  <c r="AW19" i="1"/>
  <c r="AV19" i="1"/>
  <c r="BI19" i="1" s="1"/>
  <c r="AU19" i="1"/>
  <c r="BH19" i="1" s="1"/>
  <c r="AG19" i="1"/>
  <c r="BG19" i="1" s="1"/>
  <c r="AF19" i="1"/>
  <c r="BF19" i="1" s="1"/>
  <c r="AE19" i="1"/>
  <c r="AD19" i="1"/>
  <c r="AC19" i="1"/>
  <c r="AB19" i="1"/>
  <c r="BH18" i="1"/>
  <c r="BE18" i="1"/>
  <c r="BD18" i="1"/>
  <c r="AX18" i="1"/>
  <c r="BK18" i="1" s="1"/>
  <c r="AW18" i="1"/>
  <c r="BJ18" i="1" s="1"/>
  <c r="AV18" i="1"/>
  <c r="BI18" i="1" s="1"/>
  <c r="AU18" i="1"/>
  <c r="AE18" i="1"/>
  <c r="AD18" i="1"/>
  <c r="AG18" i="1" s="1"/>
  <c r="BG18" i="1" s="1"/>
  <c r="AC18" i="1"/>
  <c r="BC18" i="1" s="1"/>
  <c r="AB18" i="1"/>
  <c r="BB18" i="1" s="1"/>
  <c r="AX17" i="1"/>
  <c r="BK17" i="1" s="1"/>
  <c r="AW17" i="1"/>
  <c r="BJ17" i="1" s="1"/>
  <c r="AV17" i="1"/>
  <c r="BI17" i="1" s="1"/>
  <c r="AU17" i="1"/>
  <c r="AG17" i="1"/>
  <c r="BG17" i="1" s="1"/>
  <c r="AE17" i="1"/>
  <c r="BE17" i="1" s="1"/>
  <c r="AD17" i="1"/>
  <c r="BD17" i="1" s="1"/>
  <c r="AC17" i="1"/>
  <c r="BC17" i="1" s="1"/>
  <c r="AB17" i="1"/>
  <c r="BB17" i="1" s="1"/>
  <c r="AX16" i="1"/>
  <c r="BK16" i="1" s="1"/>
  <c r="AW16" i="1"/>
  <c r="BJ16" i="1" s="1"/>
  <c r="AV16" i="1"/>
  <c r="BI16" i="1" s="1"/>
  <c r="AU16" i="1"/>
  <c r="AF16" i="1"/>
  <c r="BF16" i="1" s="1"/>
  <c r="AE16" i="1"/>
  <c r="BE16" i="1" s="1"/>
  <c r="AD16" i="1"/>
  <c r="BD16" i="1" s="1"/>
  <c r="AC16" i="1"/>
  <c r="BC16" i="1" s="1"/>
  <c r="AB16" i="1"/>
  <c r="BB16" i="1" s="1"/>
  <c r="AX15" i="1"/>
  <c r="BK15" i="1" s="1"/>
  <c r="AW15" i="1"/>
  <c r="BJ15" i="1" s="1"/>
  <c r="AV15" i="1"/>
  <c r="BI15" i="1" s="1"/>
  <c r="AU15" i="1"/>
  <c r="BH15" i="1" s="1"/>
  <c r="AE15" i="1"/>
  <c r="BE15" i="1" s="1"/>
  <c r="AD15" i="1"/>
  <c r="BD15" i="1" s="1"/>
  <c r="AC15" i="1"/>
  <c r="AB15" i="1"/>
  <c r="BB15" i="1" s="1"/>
  <c r="AX14" i="1"/>
  <c r="BK14" i="1" s="1"/>
  <c r="AW14" i="1"/>
  <c r="BJ14" i="1" s="1"/>
  <c r="AV14" i="1"/>
  <c r="BI14" i="1" s="1"/>
  <c r="AU14" i="1"/>
  <c r="BH14" i="1" s="1"/>
  <c r="AE14" i="1"/>
  <c r="BE14" i="1" s="1"/>
  <c r="AD14" i="1"/>
  <c r="BD14" i="1" s="1"/>
  <c r="AC14" i="1"/>
  <c r="BC14" i="1" s="1"/>
  <c r="AB14" i="1"/>
  <c r="BJ13" i="1"/>
  <c r="BI13" i="1"/>
  <c r="BH13" i="1"/>
  <c r="BE13" i="1"/>
  <c r="BC13" i="1"/>
  <c r="BB13" i="1"/>
  <c r="AX13" i="1"/>
  <c r="BK13" i="1" s="1"/>
  <c r="AW13" i="1"/>
  <c r="AV13" i="1"/>
  <c r="AU13" i="1"/>
  <c r="AY13" i="1" s="1"/>
  <c r="BL13" i="1" s="1"/>
  <c r="AE13" i="1"/>
  <c r="AD13" i="1"/>
  <c r="BD13" i="1" s="1"/>
  <c r="AC13" i="1"/>
  <c r="AB13" i="1"/>
  <c r="BK12" i="1"/>
  <c r="BJ12" i="1"/>
  <c r="BI12" i="1"/>
  <c r="BH12" i="1"/>
  <c r="BE12" i="1"/>
  <c r="BD12" i="1"/>
  <c r="BC12" i="1"/>
  <c r="AX12" i="1"/>
  <c r="AW12" i="1"/>
  <c r="AV12" i="1"/>
  <c r="AU12" i="1"/>
  <c r="AZ12" i="1" s="1"/>
  <c r="BM12" i="1" s="1"/>
  <c r="AE12" i="1"/>
  <c r="AD12" i="1"/>
  <c r="AC12" i="1"/>
  <c r="AB12" i="1"/>
  <c r="BK11" i="1"/>
  <c r="BJ11" i="1"/>
  <c r="BI11" i="1"/>
  <c r="BH11" i="1"/>
  <c r="BE11" i="1"/>
  <c r="AX11" i="1"/>
  <c r="AW11" i="1"/>
  <c r="AV11" i="1"/>
  <c r="AU11" i="1"/>
  <c r="AZ11" i="1" s="1"/>
  <c r="BM11" i="1" s="1"/>
  <c r="AE11" i="1"/>
  <c r="AD11" i="1"/>
  <c r="BD11" i="1" s="1"/>
  <c r="AC11" i="1"/>
  <c r="BC11" i="1" s="1"/>
  <c r="AB11" i="1"/>
  <c r="BK10" i="1"/>
  <c r="BJ10" i="1"/>
  <c r="BI10" i="1"/>
  <c r="BH10" i="1"/>
  <c r="AX10" i="1"/>
  <c r="AW10" i="1"/>
  <c r="AY10" i="1" s="1"/>
  <c r="BL10" i="1" s="1"/>
  <c r="AV10" i="1"/>
  <c r="AU10" i="1"/>
  <c r="AE10" i="1"/>
  <c r="BE10" i="1" s="1"/>
  <c r="AD10" i="1"/>
  <c r="BD10" i="1" s="1"/>
  <c r="AC10" i="1"/>
  <c r="BC10" i="1" s="1"/>
  <c r="AB10" i="1"/>
  <c r="AF10" i="1" s="1"/>
  <c r="BF10" i="1" s="1"/>
  <c r="BK9" i="1"/>
  <c r="BJ9" i="1"/>
  <c r="BI9" i="1"/>
  <c r="AX9" i="1"/>
  <c r="AW9" i="1"/>
  <c r="AV9" i="1"/>
  <c r="AU9" i="1"/>
  <c r="AE9" i="1"/>
  <c r="BE9" i="1" s="1"/>
  <c r="AD9" i="1"/>
  <c r="BD9" i="1" s="1"/>
  <c r="AC9" i="1"/>
  <c r="BC9" i="1" s="1"/>
  <c r="AB9" i="1"/>
  <c r="BB9" i="1" s="1"/>
  <c r="BK8" i="1"/>
  <c r="AX8" i="1"/>
  <c r="AW8" i="1"/>
  <c r="BJ8" i="1" s="1"/>
  <c r="AV8" i="1"/>
  <c r="BI8" i="1" s="1"/>
  <c r="AU8" i="1"/>
  <c r="AE8" i="1"/>
  <c r="BE8" i="1" s="1"/>
  <c r="AD8" i="1"/>
  <c r="BD8" i="1" s="1"/>
  <c r="AC8" i="1"/>
  <c r="BC8" i="1" s="1"/>
  <c r="AB8" i="1"/>
  <c r="BB8" i="1" s="1"/>
  <c r="BK7" i="1"/>
  <c r="AX7" i="1"/>
  <c r="AW7" i="1"/>
  <c r="BJ7" i="1" s="1"/>
  <c r="AV7" i="1"/>
  <c r="BI7" i="1" s="1"/>
  <c r="AU7" i="1"/>
  <c r="AZ7" i="1" s="1"/>
  <c r="BM7" i="1" s="1"/>
  <c r="AE7" i="1"/>
  <c r="BE7" i="1" s="1"/>
  <c r="AD7" i="1"/>
  <c r="BD7" i="1" s="1"/>
  <c r="AC7" i="1"/>
  <c r="BC7" i="1" s="1"/>
  <c r="AB7" i="1"/>
  <c r="BB7" i="1" s="1"/>
  <c r="BK6" i="1"/>
  <c r="BJ6" i="1"/>
  <c r="AX6" i="1"/>
  <c r="AW6" i="1"/>
  <c r="AV6" i="1"/>
  <c r="BI6" i="1" s="1"/>
  <c r="AU6" i="1"/>
  <c r="BH6" i="1" s="1"/>
  <c r="AE6" i="1"/>
  <c r="BE6" i="1" s="1"/>
  <c r="AD6" i="1"/>
  <c r="BD6" i="1" s="1"/>
  <c r="AC6" i="1"/>
  <c r="BC6" i="1" s="1"/>
  <c r="AB6" i="1"/>
  <c r="AF6" i="1" s="1"/>
  <c r="BF6" i="1" s="1"/>
  <c r="BK5" i="1"/>
  <c r="BJ5" i="1"/>
  <c r="BI5" i="1"/>
  <c r="AX5" i="1"/>
  <c r="AW5" i="1"/>
  <c r="AV5" i="1"/>
  <c r="AU5" i="1"/>
  <c r="BH5" i="1" s="1"/>
  <c r="AE5" i="1"/>
  <c r="BE5" i="1" s="1"/>
  <c r="AD5" i="1"/>
  <c r="BD5" i="1" s="1"/>
  <c r="AC5" i="1"/>
  <c r="BC5" i="1" s="1"/>
  <c r="AB5" i="1"/>
  <c r="BK4" i="1"/>
  <c r="BJ4" i="1"/>
  <c r="BE4" i="1"/>
  <c r="AX4" i="1"/>
  <c r="AW4" i="1"/>
  <c r="AV4" i="1"/>
  <c r="BI4" i="1" s="1"/>
  <c r="AU4" i="1"/>
  <c r="BH4" i="1" s="1"/>
  <c r="AE4" i="1"/>
  <c r="AD4" i="1"/>
  <c r="BD4" i="1" s="1"/>
  <c r="AC4" i="1"/>
  <c r="BC4" i="1" s="1"/>
  <c r="AB4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AZ21" i="1" l="1"/>
  <c r="BM21" i="1" s="1"/>
  <c r="BH9" i="1"/>
  <c r="AZ9" i="1"/>
  <c r="BM9" i="1" s="1"/>
  <c r="AY9" i="1"/>
  <c r="BL9" i="1" s="1"/>
  <c r="BC15" i="1"/>
  <c r="AG15" i="1"/>
  <c r="BG15" i="1" s="1"/>
  <c r="AG8" i="1"/>
  <c r="BG8" i="1" s="1"/>
  <c r="BB30" i="1"/>
  <c r="AG30" i="1"/>
  <c r="BG30" i="1" s="1"/>
  <c r="AF30" i="1"/>
  <c r="BF30" i="1" s="1"/>
  <c r="AG10" i="1"/>
  <c r="BG10" i="1" s="1"/>
  <c r="BB10" i="1"/>
  <c r="AY17" i="1"/>
  <c r="BL17" i="1" s="1"/>
  <c r="AZ17" i="1"/>
  <c r="BM17" i="1" s="1"/>
  <c r="BH17" i="1"/>
  <c r="AG12" i="1"/>
  <c r="BG12" i="1" s="1"/>
  <c r="BB12" i="1"/>
  <c r="AF12" i="1"/>
  <c r="BF12" i="1" s="1"/>
  <c r="AZ25" i="1"/>
  <c r="BM25" i="1" s="1"/>
  <c r="AF31" i="1"/>
  <c r="BF31" i="1" s="1"/>
  <c r="BB31" i="1"/>
  <c r="AG31" i="1"/>
  <c r="BG31" i="1" s="1"/>
  <c r="BI23" i="1"/>
  <c r="AZ23" i="1"/>
  <c r="BM23" i="1" s="1"/>
  <c r="AZ8" i="1"/>
  <c r="BM8" i="1" s="1"/>
  <c r="AY8" i="1"/>
  <c r="BL8" i="1" s="1"/>
  <c r="BH8" i="1"/>
  <c r="AF15" i="1"/>
  <c r="BF15" i="1" s="1"/>
  <c r="AG5" i="1"/>
  <c r="BG5" i="1" s="1"/>
  <c r="BB5" i="1"/>
  <c r="AF5" i="1"/>
  <c r="BF5" i="1" s="1"/>
  <c r="AF7" i="1"/>
  <c r="BF7" i="1" s="1"/>
  <c r="AF9" i="1"/>
  <c r="BF9" i="1" s="1"/>
  <c r="AZ16" i="1"/>
  <c r="BM16" i="1" s="1"/>
  <c r="AY16" i="1"/>
  <c r="BL16" i="1" s="1"/>
  <c r="BH16" i="1"/>
  <c r="BB4" i="1"/>
  <c r="AG4" i="1"/>
  <c r="BG4" i="1" s="1"/>
  <c r="AF4" i="1"/>
  <c r="BF4" i="1" s="1"/>
  <c r="BB6" i="1"/>
  <c r="AG6" i="1"/>
  <c r="BG6" i="1" s="1"/>
  <c r="AF8" i="1"/>
  <c r="BF8" i="1" s="1"/>
  <c r="AZ24" i="1"/>
  <c r="BM24" i="1" s="1"/>
  <c r="BI24" i="1"/>
  <c r="AG7" i="1"/>
  <c r="BG7" i="1" s="1"/>
  <c r="AG9" i="1"/>
  <c r="BG9" i="1" s="1"/>
  <c r="AG11" i="1"/>
  <c r="BG11" i="1" s="1"/>
  <c r="AF11" i="1"/>
  <c r="BF11" i="1" s="1"/>
  <c r="BB11" i="1"/>
  <c r="AG14" i="1"/>
  <c r="BG14" i="1" s="1"/>
  <c r="BB14" i="1"/>
  <c r="AF14" i="1"/>
  <c r="BF14" i="1" s="1"/>
  <c r="AG16" i="1"/>
  <c r="BG16" i="1" s="1"/>
  <c r="AG33" i="1"/>
  <c r="BG33" i="1" s="1"/>
  <c r="AF33" i="1"/>
  <c r="BF33" i="1" s="1"/>
  <c r="AY11" i="1"/>
  <c r="BL11" i="1" s="1"/>
  <c r="AF29" i="1"/>
  <c r="BF29" i="1" s="1"/>
  <c r="AZ30" i="1"/>
  <c r="BM30" i="1" s="1"/>
  <c r="AY30" i="1"/>
  <c r="BL30" i="1" s="1"/>
  <c r="AF35" i="1"/>
  <c r="BF35" i="1" s="1"/>
  <c r="AY6" i="1"/>
  <c r="BL6" i="1" s="1"/>
  <c r="AZ10" i="1"/>
  <c r="BM10" i="1" s="1"/>
  <c r="AZ15" i="1"/>
  <c r="BM15" i="1" s="1"/>
  <c r="AG29" i="1"/>
  <c r="BG29" i="1" s="1"/>
  <c r="AY5" i="1"/>
  <c r="BL5" i="1" s="1"/>
  <c r="AZ6" i="1"/>
  <c r="BM6" i="1" s="1"/>
  <c r="AY12" i="1"/>
  <c r="BL12" i="1" s="1"/>
  <c r="AY14" i="1"/>
  <c r="BL14" i="1" s="1"/>
  <c r="AF28" i="1"/>
  <c r="BF28" i="1" s="1"/>
  <c r="AZ29" i="1"/>
  <c r="BM29" i="1" s="1"/>
  <c r="AY29" i="1"/>
  <c r="BL29" i="1" s="1"/>
  <c r="AG32" i="1"/>
  <c r="BG32" i="1" s="1"/>
  <c r="AF32" i="1"/>
  <c r="BF32" i="1" s="1"/>
  <c r="AF13" i="1"/>
  <c r="BF13" i="1" s="1"/>
  <c r="BD24" i="1"/>
  <c r="AY7" i="1"/>
  <c r="BL7" i="1" s="1"/>
  <c r="AZ5" i="1"/>
  <c r="BM5" i="1" s="1"/>
  <c r="AZ14" i="1"/>
  <c r="BM14" i="1" s="1"/>
  <c r="AG28" i="1"/>
  <c r="BG28" i="1" s="1"/>
  <c r="AZ4" i="1"/>
  <c r="BM4" i="1" s="1"/>
  <c r="AZ13" i="1"/>
  <c r="BM13" i="1" s="1"/>
  <c r="AF27" i="1"/>
  <c r="BF27" i="1" s="1"/>
  <c r="AZ33" i="1"/>
  <c r="BM33" i="1" s="1"/>
  <c r="AG21" i="1"/>
  <c r="BG21" i="1" s="1"/>
  <c r="AF21" i="1"/>
  <c r="BF21" i="1" s="1"/>
  <c r="AG22" i="1"/>
  <c r="BG22" i="1" s="1"/>
  <c r="AF22" i="1"/>
  <c r="BF22" i="1" s="1"/>
  <c r="BB32" i="1"/>
  <c r="BB33" i="1"/>
  <c r="AG13" i="1"/>
  <c r="BG13" i="1" s="1"/>
  <c r="AY15" i="1"/>
  <c r="BL15" i="1" s="1"/>
  <c r="AY4" i="1"/>
  <c r="BL4" i="1" s="1"/>
  <c r="BH7" i="1"/>
  <c r="AF18" i="1"/>
  <c r="BF18" i="1" s="1"/>
  <c r="AZ19" i="1"/>
  <c r="BM19" i="1" s="1"/>
  <c r="AY19" i="1"/>
  <c r="BL19" i="1" s="1"/>
  <c r="AF24" i="1"/>
  <c r="BF24" i="1" s="1"/>
  <c r="AY27" i="1"/>
  <c r="BL27" i="1" s="1"/>
  <c r="AF17" i="1"/>
  <c r="BF17" i="1" s="1"/>
  <c r="AZ18" i="1"/>
  <c r="BM18" i="1" s="1"/>
  <c r="AY18" i="1"/>
  <c r="BL18" i="1" s="1"/>
  <c r="AY26" i="1"/>
  <c r="BL26" i="1" s="1"/>
</calcChain>
</file>

<file path=xl/sharedStrings.xml><?xml version="1.0" encoding="utf-8"?>
<sst xmlns="http://schemas.openxmlformats.org/spreadsheetml/2006/main" count="251" uniqueCount="167">
  <si>
    <t>APEV1m</t>
  </si>
  <si>
    <t>APEV2m</t>
  </si>
  <si>
    <t>APEV3m</t>
  </si>
  <si>
    <t>APEF1m</t>
  </si>
  <si>
    <t>APEF2m</t>
  </si>
  <si>
    <t>APEF3m</t>
  </si>
  <si>
    <t>APIF1m</t>
  </si>
  <si>
    <t>APIF2m</t>
  </si>
  <si>
    <t>DPEV1cm</t>
  </si>
  <si>
    <t>DPEV2cm</t>
  </si>
  <si>
    <t>DPEV3cm</t>
  </si>
  <si>
    <t>DPEF1cm</t>
  </si>
  <si>
    <t>DPEF2cm</t>
  </si>
  <si>
    <t>DPEF3cm</t>
  </si>
  <si>
    <t>DPIF1cm</t>
  </si>
  <si>
    <t>DPIF2cm</t>
  </si>
  <si>
    <t>IFddt</t>
  </si>
  <si>
    <t>FA</t>
  </si>
  <si>
    <t>IFRddt</t>
  </si>
  <si>
    <t>RPP</t>
  </si>
  <si>
    <t>crecimiento y fenoloia</t>
  </si>
  <si>
    <t>Calcio</t>
  </si>
  <si>
    <t xml:space="preserve">Trat </t>
  </si>
  <si>
    <t>REP</t>
  </si>
  <si>
    <t>APEV (m)</t>
  </si>
  <si>
    <t>APEF (m)</t>
  </si>
  <si>
    <t>APEF(m)</t>
  </si>
  <si>
    <t>APIF (m)</t>
  </si>
  <si>
    <t>DPEV (cm)</t>
  </si>
  <si>
    <t>DPEV(cm)</t>
  </si>
  <si>
    <t>DPEF (cm)</t>
  </si>
  <si>
    <t>DPIF (cm)</t>
  </si>
  <si>
    <t>DPIF ( cm)</t>
  </si>
  <si>
    <t>IF (ddt)</t>
  </si>
  <si>
    <t xml:space="preserve">FA </t>
  </si>
  <si>
    <t>IFR (ddt)</t>
  </si>
  <si>
    <t xml:space="preserve">RPP </t>
  </si>
  <si>
    <t>Con</t>
  </si>
  <si>
    <t>Toro</t>
  </si>
  <si>
    <t>Pony</t>
  </si>
  <si>
    <t>Palomo</t>
  </si>
  <si>
    <t>Perseo</t>
  </si>
  <si>
    <t>Sin</t>
  </si>
  <si>
    <t>IFL</t>
  </si>
  <si>
    <t>Inicio de floracion</t>
  </si>
  <si>
    <t>Flores abiertas</t>
  </si>
  <si>
    <t>IFR</t>
  </si>
  <si>
    <t>Inicio de fructificacion</t>
  </si>
  <si>
    <t>Racimos por planta</t>
  </si>
  <si>
    <t>NFPC</t>
  </si>
  <si>
    <t>Numero de frutos primera calidad</t>
  </si>
  <si>
    <t>NFSC</t>
  </si>
  <si>
    <t>Numero de frutos segunda calidad</t>
  </si>
  <si>
    <t>NFTC</t>
  </si>
  <si>
    <t>Numero de frutos tercera calidad</t>
  </si>
  <si>
    <t>NFCC</t>
  </si>
  <si>
    <t>Numero de frutos cuarta calidad</t>
  </si>
  <si>
    <t>PPFPC</t>
  </si>
  <si>
    <t>Peso promedio  fruto primera calidad</t>
  </si>
  <si>
    <t>PPFSC</t>
  </si>
  <si>
    <t>peso promedio fruto segunda calidad</t>
  </si>
  <si>
    <t>PPFTC</t>
  </si>
  <si>
    <t>Peso promedio fruto tercera calidad</t>
  </si>
  <si>
    <t>DFPC</t>
  </si>
  <si>
    <t>Diametro frutos primera calidad</t>
  </si>
  <si>
    <t>DFSC</t>
  </si>
  <si>
    <t>Diametro frutos segunda calidad</t>
  </si>
  <si>
    <t>DFTC</t>
  </si>
  <si>
    <t>Diametro frutos tercera calidad</t>
  </si>
  <si>
    <t>LFPC</t>
  </si>
  <si>
    <t>Longitud frutos primera calidad</t>
  </si>
  <si>
    <t>LFSC</t>
  </si>
  <si>
    <t>Longitud frutos segunda calidad</t>
  </si>
  <si>
    <t>LFTC</t>
  </si>
  <si>
    <t>Longitud frutos tercera calidad</t>
  </si>
  <si>
    <t>PFPC</t>
  </si>
  <si>
    <t>Peso frutos primera calidad</t>
  </si>
  <si>
    <t>PFSC</t>
  </si>
  <si>
    <t>Peso fruto segunda calidad</t>
  </si>
  <si>
    <t>PFTC</t>
  </si>
  <si>
    <t>Peso fruto tercera calidad</t>
  </si>
  <si>
    <t>GB</t>
  </si>
  <si>
    <t>Grados Brix</t>
  </si>
  <si>
    <t>uni</t>
  </si>
  <si>
    <t>unidad</t>
  </si>
  <si>
    <t>ddt</t>
  </si>
  <si>
    <t xml:space="preserve">Dias despues del trasplante </t>
  </si>
  <si>
    <t>APEV</t>
  </si>
  <si>
    <t>Altura planta etapa vegetativa</t>
  </si>
  <si>
    <t>APEF</t>
  </si>
  <si>
    <t>Altura planta etapa de floracion</t>
  </si>
  <si>
    <t>APIF</t>
  </si>
  <si>
    <t>Altura planta inicio de fructificacion</t>
  </si>
  <si>
    <t>DPEV</t>
  </si>
  <si>
    <t>Diametro planta etapa vegetativa</t>
  </si>
  <si>
    <t>DPEF</t>
  </si>
  <si>
    <t>Diametro planta etapa de floracion</t>
  </si>
  <si>
    <t>DPIF</t>
  </si>
  <si>
    <t>Diametro planta inicio de fructificacion</t>
  </si>
  <si>
    <t>NFPCfrutos</t>
  </si>
  <si>
    <t>NFSCfrutos</t>
  </si>
  <si>
    <t>NFTCfrutos</t>
  </si>
  <si>
    <t>NFCCfrutos</t>
  </si>
  <si>
    <t>NFPCfrutosm2</t>
  </si>
  <si>
    <t>NFSCfrutosm2</t>
  </si>
  <si>
    <t>NFTCfrutosm2</t>
  </si>
  <si>
    <t>NFCCfrutosm2</t>
  </si>
  <si>
    <t>NFComerfrutosm2</t>
  </si>
  <si>
    <t>NFTm2</t>
  </si>
  <si>
    <t>PPFPCg</t>
  </si>
  <si>
    <t>PPFSCg</t>
  </si>
  <si>
    <t>PPFTCg</t>
  </si>
  <si>
    <t>DFPCcm</t>
  </si>
  <si>
    <t>DFSCcm</t>
  </si>
  <si>
    <t>DFTCcm</t>
  </si>
  <si>
    <t>LFPCcm</t>
  </si>
  <si>
    <t>LFSCcm</t>
  </si>
  <si>
    <t>LFTCcm</t>
  </si>
  <si>
    <t>PFPCkg</t>
  </si>
  <si>
    <t>PFSCkg</t>
  </si>
  <si>
    <t>PFTCkg</t>
  </si>
  <si>
    <t>PFCCkg</t>
  </si>
  <si>
    <t>PFPCKgm2</t>
  </si>
  <si>
    <t>PFSCKgm2</t>
  </si>
  <si>
    <t>PFTCKgm2</t>
  </si>
  <si>
    <t>PFCCkgm2</t>
  </si>
  <si>
    <t>PFComerkgm2</t>
  </si>
  <si>
    <t>PFTkgm2</t>
  </si>
  <si>
    <t>NFPCmilesfrutosha</t>
  </si>
  <si>
    <t>NFSCmilesfrutosha</t>
  </si>
  <si>
    <t>NFTCmilesfrutosha</t>
  </si>
  <si>
    <t>NFCCmilesfrutosha</t>
  </si>
  <si>
    <t>NFComermilesfrutosha</t>
  </si>
  <si>
    <t>NFTmilesfrutosha</t>
  </si>
  <si>
    <t>PFPCtonha</t>
  </si>
  <si>
    <t>PFSCtonha</t>
  </si>
  <si>
    <t>PFTCtonha</t>
  </si>
  <si>
    <t>PFCCtonha</t>
  </si>
  <si>
    <t>PFComertonha</t>
  </si>
  <si>
    <t>PFTtonha</t>
  </si>
  <si>
    <t>Rendimiento No frutos por m2</t>
  </si>
  <si>
    <t>NFPC(frutos)</t>
  </si>
  <si>
    <t>NFSC (frutos)</t>
  </si>
  <si>
    <t>NFTC(frutos)</t>
  </si>
  <si>
    <t>NFCC(frutos)</t>
  </si>
  <si>
    <t>NFPC(frutos/m²)</t>
  </si>
  <si>
    <t>NFSC (frutos/m²)</t>
  </si>
  <si>
    <t>NFTC(frutos/m²)</t>
  </si>
  <si>
    <t>NFCC(frutos/m²)</t>
  </si>
  <si>
    <t>PPFPC(g)</t>
  </si>
  <si>
    <t>PPFSC (g)</t>
  </si>
  <si>
    <t>PPFTC (g)</t>
  </si>
  <si>
    <t>DFPC (cm)</t>
  </si>
  <si>
    <t>DFSC (cm)</t>
  </si>
  <si>
    <t>DFTC(cm)</t>
  </si>
  <si>
    <t>LFPC(cm)</t>
  </si>
  <si>
    <t>LFSC(cm)</t>
  </si>
  <si>
    <t>LFTC(cm)</t>
  </si>
  <si>
    <t>PFPC(kg)</t>
  </si>
  <si>
    <t>PFSC (kg)</t>
  </si>
  <si>
    <t>PFTC(kg)</t>
  </si>
  <si>
    <t>PFCC(kg)</t>
  </si>
  <si>
    <r>
      <t>PFPC KG/m</t>
    </r>
    <r>
      <rPr>
        <sz val="11"/>
        <color theme="1"/>
        <rFont val="Calibri"/>
        <family val="2"/>
      </rPr>
      <t>²</t>
    </r>
  </si>
  <si>
    <t>PFSCKG/m²</t>
  </si>
  <si>
    <t>PFTCKG/m²</t>
  </si>
  <si>
    <t>PFCCkm2</t>
  </si>
  <si>
    <t>PFTkm2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</si>
</sst>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0" xfId="0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/>
    <xf numFmtId="0" fontId="0" fillId="0" borderId="0" xfId="0" applyAlignment="1"/>
    <xf numFmtId="0" fontId="0" fillId="0" borderId="1" xfId="0" applyFill="1" applyBorder="1"/>
    <xf numFmtId="0" fontId="0" fillId="0" borderId="0" xfId="0" applyFill="1"/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left"/>
    </xf>
    <xf numFmtId="2" fontId="0" fillId="0" borderId="1" xfId="0" applyNumberFormat="1" applyFill="1" applyBorder="1" applyAlignment="1">
      <alignment horizontal="left"/>
    </xf>
    <xf numFmtId="0" fontId="0" fillId="0" borderId="2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Fill="1" applyBorder="1" applyAlignment="1">
      <alignment horizontal="left"/>
    </xf>
    <xf numFmtId="2" fontId="0" fillId="0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70"/>
  <sheetViews>
    <sheetView tabSelected="1" workbookViewId="0">
      <selection activeCell="Y2" sqref="Y2"/>
    </sheetView>
  </sheetViews>
  <sheetFormatPr baseColWidth="10" defaultRowHeight="14.25" x14ac:dyDescent="0.45"/>
  <sheetData>
    <row r="1" spans="1:65" x14ac:dyDescent="0.45">
      <c r="A1" s="9"/>
      <c r="B1" s="9"/>
      <c r="C1" s="9"/>
      <c r="D1" s="9" t="s">
        <v>0</v>
      </c>
      <c r="E1" s="9" t="s">
        <v>1</v>
      </c>
      <c r="F1" s="9" t="s">
        <v>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8</v>
      </c>
      <c r="M1" s="9" t="s">
        <v>9</v>
      </c>
      <c r="N1" s="9" t="s">
        <v>10</v>
      </c>
      <c r="O1" s="9" t="s">
        <v>11</v>
      </c>
      <c r="P1" s="9" t="s">
        <v>12</v>
      </c>
      <c r="Q1" s="9" t="s">
        <v>13</v>
      </c>
      <c r="R1" s="9" t="s">
        <v>14</v>
      </c>
      <c r="S1" s="9" t="s">
        <v>15</v>
      </c>
      <c r="T1" s="9" t="s">
        <v>16</v>
      </c>
      <c r="U1" s="9" t="s">
        <v>17</v>
      </c>
      <c r="V1" s="9" t="s">
        <v>18</v>
      </c>
      <c r="W1" s="9" t="s">
        <v>19</v>
      </c>
      <c r="X1" t="s">
        <v>99</v>
      </c>
      <c r="Y1" t="s">
        <v>100</v>
      </c>
      <c r="Z1" t="s">
        <v>101</v>
      </c>
      <c r="AA1" s="17" t="s">
        <v>102</v>
      </c>
      <c r="AB1" s="17" t="s">
        <v>103</v>
      </c>
      <c r="AC1" s="17" t="s">
        <v>104</v>
      </c>
      <c r="AD1" s="17" t="s">
        <v>105</v>
      </c>
      <c r="AE1" s="17" t="s">
        <v>106</v>
      </c>
      <c r="AF1" s="17" t="s">
        <v>107</v>
      </c>
      <c r="AG1" s="17" t="s">
        <v>108</v>
      </c>
      <c r="AH1" s="17" t="s">
        <v>109</v>
      </c>
      <c r="AI1" s="17" t="s">
        <v>110</v>
      </c>
      <c r="AJ1" s="17" t="s">
        <v>111</v>
      </c>
      <c r="AK1" s="17" t="s">
        <v>112</v>
      </c>
      <c r="AL1" s="17" t="s">
        <v>113</v>
      </c>
      <c r="AM1" s="17" t="s">
        <v>114</v>
      </c>
      <c r="AN1" s="17" t="s">
        <v>115</v>
      </c>
      <c r="AO1" s="17" t="s">
        <v>116</v>
      </c>
      <c r="AP1" s="17" t="s">
        <v>117</v>
      </c>
      <c r="AQ1" s="17" t="s">
        <v>118</v>
      </c>
      <c r="AR1" s="17" t="s">
        <v>119</v>
      </c>
      <c r="AS1" s="17" t="s">
        <v>120</v>
      </c>
      <c r="AT1" s="17" t="s">
        <v>121</v>
      </c>
      <c r="AU1" s="17" t="s">
        <v>122</v>
      </c>
      <c r="AV1" s="17" t="s">
        <v>123</v>
      </c>
      <c r="AW1" s="17" t="s">
        <v>124</v>
      </c>
      <c r="AX1" s="17" t="s">
        <v>125</v>
      </c>
      <c r="AY1" s="7" t="s">
        <v>126</v>
      </c>
      <c r="AZ1" s="7" t="s">
        <v>127</v>
      </c>
      <c r="BA1" s="7" t="s">
        <v>81</v>
      </c>
      <c r="BB1" s="7" t="s">
        <v>128</v>
      </c>
      <c r="BC1" s="7" t="s">
        <v>129</v>
      </c>
      <c r="BD1" s="7" t="s">
        <v>130</v>
      </c>
      <c r="BE1" s="7" t="s">
        <v>131</v>
      </c>
      <c r="BF1" s="7" t="s">
        <v>132</v>
      </c>
      <c r="BG1" s="7" t="s">
        <v>133</v>
      </c>
      <c r="BH1" s="7" t="s">
        <v>134</v>
      </c>
      <c r="BI1" s="7" t="s">
        <v>135</v>
      </c>
      <c r="BJ1" s="7" t="s">
        <v>136</v>
      </c>
      <c r="BK1" s="7" t="s">
        <v>137</v>
      </c>
      <c r="BL1" s="7" t="s">
        <v>138</v>
      </c>
      <c r="BM1" s="7" t="s">
        <v>139</v>
      </c>
    </row>
    <row r="2" spans="1:65" x14ac:dyDescent="0.45">
      <c r="A2" s="9"/>
      <c r="B2" s="9"/>
      <c r="C2" s="9"/>
      <c r="D2" s="10" t="s">
        <v>20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7"/>
      <c r="Y2" s="17"/>
      <c r="Z2" s="17"/>
      <c r="AA2" s="17"/>
      <c r="AB2" s="18" t="s">
        <v>140</v>
      </c>
      <c r="AC2" s="18"/>
      <c r="AD2" s="18"/>
      <c r="AE2" s="18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</row>
    <row r="3" spans="1:65" x14ac:dyDescent="0.45">
      <c r="A3" s="11" t="s">
        <v>21</v>
      </c>
      <c r="B3" s="11" t="s">
        <v>22</v>
      </c>
      <c r="C3" s="11" t="s">
        <v>23</v>
      </c>
      <c r="D3" s="11" t="s">
        <v>24</v>
      </c>
      <c r="E3" s="11" t="s">
        <v>24</v>
      </c>
      <c r="F3" s="11" t="s">
        <v>24</v>
      </c>
      <c r="G3" s="11" t="s">
        <v>25</v>
      </c>
      <c r="H3" s="11" t="s">
        <v>26</v>
      </c>
      <c r="I3" s="11" t="s">
        <v>25</v>
      </c>
      <c r="J3" s="11" t="s">
        <v>27</v>
      </c>
      <c r="K3" s="11" t="s">
        <v>27</v>
      </c>
      <c r="L3" s="11" t="s">
        <v>28</v>
      </c>
      <c r="M3" s="11" t="s">
        <v>29</v>
      </c>
      <c r="N3" s="11" t="s">
        <v>29</v>
      </c>
      <c r="O3" s="11" t="s">
        <v>30</v>
      </c>
      <c r="P3" s="11" t="s">
        <v>30</v>
      </c>
      <c r="Q3" s="11" t="s">
        <v>30</v>
      </c>
      <c r="R3" s="11" t="s">
        <v>31</v>
      </c>
      <c r="S3" s="11" t="s">
        <v>32</v>
      </c>
      <c r="T3" s="11" t="s">
        <v>33</v>
      </c>
      <c r="U3" s="11" t="s">
        <v>34</v>
      </c>
      <c r="V3" s="11" t="s">
        <v>35</v>
      </c>
      <c r="W3" s="11" t="s">
        <v>36</v>
      </c>
      <c r="X3" s="11" t="s">
        <v>141</v>
      </c>
      <c r="Y3" s="11" t="s">
        <v>142</v>
      </c>
      <c r="Z3" s="11" t="s">
        <v>143</v>
      </c>
      <c r="AA3" s="11" t="s">
        <v>144</v>
      </c>
      <c r="AB3" s="11" t="s">
        <v>145</v>
      </c>
      <c r="AC3" s="11" t="s">
        <v>146</v>
      </c>
      <c r="AD3" s="11" t="s">
        <v>147</v>
      </c>
      <c r="AE3" s="11" t="s">
        <v>148</v>
      </c>
      <c r="AF3" s="19" t="s">
        <v>107</v>
      </c>
      <c r="AG3" s="19" t="s">
        <v>108</v>
      </c>
      <c r="AH3" s="11" t="s">
        <v>149</v>
      </c>
      <c r="AI3" s="11" t="s">
        <v>150</v>
      </c>
      <c r="AJ3" s="11" t="s">
        <v>151</v>
      </c>
      <c r="AK3" s="11" t="s">
        <v>152</v>
      </c>
      <c r="AL3" s="11" t="s">
        <v>153</v>
      </c>
      <c r="AM3" s="11" t="s">
        <v>154</v>
      </c>
      <c r="AN3" s="11" t="s">
        <v>155</v>
      </c>
      <c r="AO3" s="11" t="s">
        <v>156</v>
      </c>
      <c r="AP3" s="11" t="s">
        <v>157</v>
      </c>
      <c r="AQ3" s="11" t="s">
        <v>158</v>
      </c>
      <c r="AR3" s="11" t="s">
        <v>159</v>
      </c>
      <c r="AS3" s="11" t="s">
        <v>160</v>
      </c>
      <c r="AT3" s="19" t="s">
        <v>161</v>
      </c>
      <c r="AU3" s="11" t="s">
        <v>162</v>
      </c>
      <c r="AV3" s="11" t="s">
        <v>163</v>
      </c>
      <c r="AW3" s="11" t="s">
        <v>164</v>
      </c>
      <c r="AX3" s="19" t="s">
        <v>165</v>
      </c>
      <c r="AY3" s="19" t="s">
        <v>126</v>
      </c>
      <c r="AZ3" s="19" t="s">
        <v>166</v>
      </c>
      <c r="BA3" s="11" t="s">
        <v>81</v>
      </c>
      <c r="BB3" s="11" t="s">
        <v>128</v>
      </c>
      <c r="BC3" s="11" t="s">
        <v>129</v>
      </c>
      <c r="BD3" s="11" t="s">
        <v>130</v>
      </c>
      <c r="BE3" s="11" t="s">
        <v>131</v>
      </c>
      <c r="BF3" s="19" t="s">
        <v>132</v>
      </c>
      <c r="BG3" s="19" t="s">
        <v>133</v>
      </c>
      <c r="BH3" s="11" t="s">
        <v>134</v>
      </c>
      <c r="BI3" s="11" t="s">
        <v>135</v>
      </c>
      <c r="BJ3" s="11" t="s">
        <v>136</v>
      </c>
      <c r="BK3" s="19" t="s">
        <v>137</v>
      </c>
      <c r="BL3" s="19" t="s">
        <v>138</v>
      </c>
      <c r="BM3" s="19" t="s">
        <v>139</v>
      </c>
    </row>
    <row r="4" spans="1:65" x14ac:dyDescent="0.45">
      <c r="A4" s="11" t="s">
        <v>37</v>
      </c>
      <c r="B4" s="11" t="s">
        <v>38</v>
      </c>
      <c r="C4" s="11">
        <v>1</v>
      </c>
      <c r="D4" s="12">
        <v>0.67999999999999994</v>
      </c>
      <c r="E4" s="12">
        <v>0.73000000000000009</v>
      </c>
      <c r="F4" s="12">
        <v>0.77249999999999996</v>
      </c>
      <c r="G4" s="12">
        <v>0.89750000000000008</v>
      </c>
      <c r="H4" s="12">
        <v>0.92749999999999999</v>
      </c>
      <c r="I4" s="12">
        <v>1.0275000000000001</v>
      </c>
      <c r="J4" s="12">
        <v>1.3466666666666667</v>
      </c>
      <c r="K4" s="12">
        <v>1.4366666666666668</v>
      </c>
      <c r="L4" s="12">
        <v>1.0249999999999999</v>
      </c>
      <c r="M4" s="12">
        <v>1.1000000000000001</v>
      </c>
      <c r="N4" s="12">
        <v>1.2250000000000001</v>
      </c>
      <c r="O4" s="12">
        <v>1.2750000000000001</v>
      </c>
      <c r="P4" s="12">
        <v>1.3150000000000002</v>
      </c>
      <c r="Q4" s="12">
        <v>1.4500000000000002</v>
      </c>
      <c r="R4" s="12">
        <v>1.55</v>
      </c>
      <c r="S4" s="12">
        <v>1.6500000000000001</v>
      </c>
      <c r="T4" s="12">
        <v>26.5</v>
      </c>
      <c r="U4" s="12">
        <v>26.5</v>
      </c>
      <c r="V4" s="12">
        <v>32.25</v>
      </c>
      <c r="W4" s="12">
        <v>17.5</v>
      </c>
      <c r="X4" s="12">
        <v>54</v>
      </c>
      <c r="Y4" s="12">
        <v>353</v>
      </c>
      <c r="Z4" s="12">
        <v>328</v>
      </c>
      <c r="AA4" s="12">
        <v>132</v>
      </c>
      <c r="AB4" s="12">
        <f>X4/9.6</f>
        <v>5.625</v>
      </c>
      <c r="AC4" s="12">
        <f>Y4/9.6</f>
        <v>36.770833333333336</v>
      </c>
      <c r="AD4" s="12">
        <f>Z4/9.6</f>
        <v>34.166666666666671</v>
      </c>
      <c r="AE4" s="12">
        <f>AA4/9.6</f>
        <v>13.75</v>
      </c>
      <c r="AF4" s="20">
        <f>SUM(AB4:AD4)</f>
        <v>76.5625</v>
      </c>
      <c r="AG4" s="20">
        <f>SUM(AB4:AE4)</f>
        <v>90.3125</v>
      </c>
      <c r="AH4" s="12">
        <v>130</v>
      </c>
      <c r="AI4" s="12">
        <v>86.666666666666671</v>
      </c>
      <c r="AJ4" s="12">
        <v>38.333333333333336</v>
      </c>
      <c r="AK4" s="12">
        <v>3.7566666666666664</v>
      </c>
      <c r="AL4" s="12">
        <v>5.0066666666666668</v>
      </c>
      <c r="AM4" s="12">
        <v>4.2750000000000004</v>
      </c>
      <c r="AN4" s="12">
        <v>6.8125</v>
      </c>
      <c r="AO4" s="12">
        <v>5.751666666666666</v>
      </c>
      <c r="AP4" s="12">
        <v>4.7933333333333339</v>
      </c>
      <c r="AQ4" s="12">
        <v>6.165</v>
      </c>
      <c r="AR4" s="12">
        <v>25.700000000000003</v>
      </c>
      <c r="AS4" s="12">
        <v>11.56</v>
      </c>
      <c r="AT4" s="20">
        <v>2.65</v>
      </c>
      <c r="AU4" s="12">
        <f>AQ4/9.6</f>
        <v>0.64218750000000002</v>
      </c>
      <c r="AV4" s="12">
        <f>AR4/9.6</f>
        <v>2.6770833333333339</v>
      </c>
      <c r="AW4" s="12">
        <f>AS4/9.6</f>
        <v>1.2041666666666668</v>
      </c>
      <c r="AX4" s="12">
        <f>AT4/9.6</f>
        <v>0.27604166666666669</v>
      </c>
      <c r="AY4" s="20">
        <f>SUM(AU4:AW4)</f>
        <v>4.5234375000000009</v>
      </c>
      <c r="AZ4" s="20">
        <f>SUM(AU4:AX4)</f>
        <v>4.7994791666666679</v>
      </c>
      <c r="BA4" s="12">
        <v>4.0999999999999996</v>
      </c>
      <c r="BB4" s="20">
        <f t="shared" ref="BB4:BG35" si="0">AB4*(10000/1000)</f>
        <v>56.25</v>
      </c>
      <c r="BC4" s="20">
        <f t="shared" si="0"/>
        <v>367.70833333333337</v>
      </c>
      <c r="BD4" s="20">
        <f t="shared" si="0"/>
        <v>341.66666666666674</v>
      </c>
      <c r="BE4" s="20">
        <f t="shared" si="0"/>
        <v>137.5</v>
      </c>
      <c r="BF4" s="20">
        <f t="shared" si="0"/>
        <v>765.625</v>
      </c>
      <c r="BG4" s="20">
        <f t="shared" si="0"/>
        <v>903.125</v>
      </c>
      <c r="BH4" s="20">
        <f t="shared" ref="BH4:BM19" si="1">AU4*(10000/1000)</f>
        <v>6.421875</v>
      </c>
      <c r="BI4" s="20">
        <f t="shared" si="1"/>
        <v>26.770833333333339</v>
      </c>
      <c r="BJ4" s="20">
        <f t="shared" si="1"/>
        <v>12.041666666666668</v>
      </c>
      <c r="BK4" s="20">
        <f t="shared" si="1"/>
        <v>2.760416666666667</v>
      </c>
      <c r="BL4" s="20">
        <f t="shared" si="1"/>
        <v>45.234375000000007</v>
      </c>
      <c r="BM4" s="20">
        <f t="shared" si="1"/>
        <v>47.994791666666679</v>
      </c>
    </row>
    <row r="5" spans="1:65" x14ac:dyDescent="0.45">
      <c r="A5" s="11" t="s">
        <v>37</v>
      </c>
      <c r="B5" s="11" t="s">
        <v>38</v>
      </c>
      <c r="C5" s="11">
        <v>2</v>
      </c>
      <c r="D5" s="12">
        <v>0.83499999999999996</v>
      </c>
      <c r="E5" s="12">
        <v>0.86749999999999994</v>
      </c>
      <c r="F5" s="12">
        <v>0.88500000000000001</v>
      </c>
      <c r="G5" s="12">
        <v>0.94250000000000012</v>
      </c>
      <c r="H5" s="12">
        <v>1</v>
      </c>
      <c r="I5" s="12">
        <v>1.1000000000000001</v>
      </c>
      <c r="J5" s="12">
        <v>1.333333333333333</v>
      </c>
      <c r="K5" s="12">
        <v>1.4233333333333331</v>
      </c>
      <c r="L5" s="12">
        <v>1.0750000000000002</v>
      </c>
      <c r="M5" s="12">
        <v>1.0750000000000002</v>
      </c>
      <c r="N5" s="12">
        <v>1.2</v>
      </c>
      <c r="O5" s="12">
        <v>1.25</v>
      </c>
      <c r="P5" s="12">
        <v>1.29</v>
      </c>
      <c r="Q5" s="12">
        <v>1.4750000000000001</v>
      </c>
      <c r="R5" s="12">
        <v>1.5249999999999999</v>
      </c>
      <c r="S5" s="12">
        <v>1.625</v>
      </c>
      <c r="T5" s="12">
        <v>22.25</v>
      </c>
      <c r="U5" s="12">
        <v>22.25</v>
      </c>
      <c r="V5" s="12">
        <v>32.5</v>
      </c>
      <c r="W5" s="12">
        <v>20.166666666666664</v>
      </c>
      <c r="X5" s="12">
        <v>47</v>
      </c>
      <c r="Y5" s="12">
        <v>401</v>
      </c>
      <c r="Z5" s="12">
        <v>399</v>
      </c>
      <c r="AA5" s="12">
        <v>83</v>
      </c>
      <c r="AB5" s="12">
        <f t="shared" ref="AB5:AE35" si="2">X5/9.6</f>
        <v>4.8958333333333339</v>
      </c>
      <c r="AC5" s="12">
        <f t="shared" si="2"/>
        <v>41.770833333333336</v>
      </c>
      <c r="AD5" s="12">
        <f t="shared" si="2"/>
        <v>41.5625</v>
      </c>
      <c r="AE5" s="12">
        <f t="shared" si="2"/>
        <v>8.6458333333333339</v>
      </c>
      <c r="AF5" s="20">
        <f t="shared" ref="AF5:AF35" si="3">SUM(AB5:AD5)</f>
        <v>88.229166666666671</v>
      </c>
      <c r="AG5" s="20">
        <f t="shared" ref="AG5:AG35" si="4">SUM(AB5:AE5)</f>
        <v>96.875</v>
      </c>
      <c r="AH5" s="12">
        <v>113</v>
      </c>
      <c r="AI5" s="12">
        <v>61.666666666666664</v>
      </c>
      <c r="AJ5" s="12">
        <v>35.833333333333336</v>
      </c>
      <c r="AK5" s="12">
        <v>4.5750000000000002</v>
      </c>
      <c r="AL5" s="12">
        <v>4.4650000000000007</v>
      </c>
      <c r="AM5" s="12">
        <v>3.1583333333333332</v>
      </c>
      <c r="AN5" s="12">
        <v>6.4099999999999993</v>
      </c>
      <c r="AO5" s="12">
        <v>5.4133333333333331</v>
      </c>
      <c r="AP5" s="12">
        <v>4.0566666666666666</v>
      </c>
      <c r="AQ5" s="12">
        <v>5.3450000000000006</v>
      </c>
      <c r="AR5" s="12">
        <v>27.29</v>
      </c>
      <c r="AS5" s="12">
        <v>12.259999999999998</v>
      </c>
      <c r="AT5" s="20">
        <v>1.3</v>
      </c>
      <c r="AU5" s="12">
        <f t="shared" ref="AU5:AX35" si="5">AQ5/9.6</f>
        <v>0.55677083333333344</v>
      </c>
      <c r="AV5" s="12">
        <f t="shared" si="5"/>
        <v>2.8427083333333334</v>
      </c>
      <c r="AW5" s="12">
        <f t="shared" si="5"/>
        <v>1.2770833333333331</v>
      </c>
      <c r="AX5" s="12">
        <f t="shared" si="5"/>
        <v>0.13541666666666669</v>
      </c>
      <c r="AY5" s="20">
        <f t="shared" ref="AY5:AY35" si="6">SUM(AU5:AW5)</f>
        <v>4.6765624999999993</v>
      </c>
      <c r="AZ5" s="20">
        <f t="shared" ref="AZ5:AZ35" si="7">SUM(AU5:AX5)</f>
        <v>4.8119791666666663</v>
      </c>
      <c r="BA5" s="12">
        <v>4.0999999999999996</v>
      </c>
      <c r="BB5" s="20">
        <f t="shared" si="0"/>
        <v>48.958333333333343</v>
      </c>
      <c r="BC5" s="20">
        <f t="shared" si="0"/>
        <v>417.70833333333337</v>
      </c>
      <c r="BD5" s="20">
        <f t="shared" si="0"/>
        <v>415.625</v>
      </c>
      <c r="BE5" s="20">
        <f t="shared" si="0"/>
        <v>86.458333333333343</v>
      </c>
      <c r="BF5" s="20">
        <f t="shared" si="0"/>
        <v>882.29166666666674</v>
      </c>
      <c r="BG5" s="20">
        <f t="shared" si="0"/>
        <v>968.75</v>
      </c>
      <c r="BH5" s="20">
        <f t="shared" si="1"/>
        <v>5.5677083333333339</v>
      </c>
      <c r="BI5" s="20">
        <f t="shared" si="1"/>
        <v>28.427083333333336</v>
      </c>
      <c r="BJ5" s="20">
        <f t="shared" si="1"/>
        <v>12.770833333333332</v>
      </c>
      <c r="BK5" s="20">
        <f t="shared" si="1"/>
        <v>1.354166666666667</v>
      </c>
      <c r="BL5" s="20">
        <f t="shared" si="1"/>
        <v>46.765624999999993</v>
      </c>
      <c r="BM5" s="20">
        <f t="shared" si="1"/>
        <v>48.119791666666664</v>
      </c>
    </row>
    <row r="6" spans="1:65" x14ac:dyDescent="0.45">
      <c r="A6" s="11" t="s">
        <v>37</v>
      </c>
      <c r="B6" s="11" t="s">
        <v>38</v>
      </c>
      <c r="C6" s="11">
        <v>3</v>
      </c>
      <c r="D6" s="12">
        <v>0.88</v>
      </c>
      <c r="E6" s="12">
        <v>0.9</v>
      </c>
      <c r="F6" s="12">
        <v>0.92500000000000004</v>
      </c>
      <c r="G6" s="12">
        <v>0.93500000000000005</v>
      </c>
      <c r="H6" s="12">
        <v>0.98499999999999999</v>
      </c>
      <c r="I6" s="12">
        <v>1.085</v>
      </c>
      <c r="J6" s="12">
        <v>1.3033333333333332</v>
      </c>
      <c r="K6" s="12">
        <v>1.3933333333333333</v>
      </c>
      <c r="L6" s="12">
        <v>1.1000000000000001</v>
      </c>
      <c r="M6" s="12">
        <v>1.2</v>
      </c>
      <c r="N6" s="12">
        <v>1.55</v>
      </c>
      <c r="O6" s="12">
        <v>1.6</v>
      </c>
      <c r="P6" s="12">
        <v>1.6400000000000001</v>
      </c>
      <c r="Q6" s="12">
        <v>1.575</v>
      </c>
      <c r="R6" s="12">
        <v>1.625</v>
      </c>
      <c r="S6" s="12">
        <v>1.675</v>
      </c>
      <c r="T6" s="12">
        <v>26</v>
      </c>
      <c r="U6" s="12">
        <v>26</v>
      </c>
      <c r="V6" s="12">
        <v>32</v>
      </c>
      <c r="W6" s="12">
        <v>15.547619047619047</v>
      </c>
      <c r="X6" s="12">
        <v>38</v>
      </c>
      <c r="Y6" s="12">
        <v>352</v>
      </c>
      <c r="Z6" s="12">
        <v>263</v>
      </c>
      <c r="AA6" s="12">
        <v>68</v>
      </c>
      <c r="AB6" s="12">
        <f t="shared" si="2"/>
        <v>3.9583333333333335</v>
      </c>
      <c r="AC6" s="12">
        <f t="shared" si="2"/>
        <v>36.666666666666671</v>
      </c>
      <c r="AD6" s="12">
        <f t="shared" si="2"/>
        <v>27.395833333333336</v>
      </c>
      <c r="AE6" s="12">
        <f t="shared" si="2"/>
        <v>7.0833333333333339</v>
      </c>
      <c r="AF6" s="20">
        <f t="shared" si="3"/>
        <v>68.020833333333343</v>
      </c>
      <c r="AG6" s="20">
        <f t="shared" si="4"/>
        <v>75.104166666666671</v>
      </c>
      <c r="AH6" s="12">
        <v>115</v>
      </c>
      <c r="AI6" s="12">
        <v>75.833333333333329</v>
      </c>
      <c r="AJ6" s="12">
        <v>31.666666666666668</v>
      </c>
      <c r="AK6" s="12">
        <v>4.4466666666666663</v>
      </c>
      <c r="AL6" s="12">
        <v>4.74</v>
      </c>
      <c r="AM6" s="12">
        <v>3.081666666666667</v>
      </c>
      <c r="AN6" s="12">
        <v>6.8639999999999999</v>
      </c>
      <c r="AO6" s="12">
        <v>5.96</v>
      </c>
      <c r="AP6" s="12">
        <v>3.8699999999999997</v>
      </c>
      <c r="AQ6" s="12">
        <v>4.2349999999999994</v>
      </c>
      <c r="AR6" s="12">
        <v>24.195000000000004</v>
      </c>
      <c r="AS6" s="12">
        <v>8.9649999999999999</v>
      </c>
      <c r="AT6" s="20">
        <v>0.86</v>
      </c>
      <c r="AU6" s="12">
        <f t="shared" si="5"/>
        <v>0.44114583333333329</v>
      </c>
      <c r="AV6" s="12">
        <f t="shared" si="5"/>
        <v>2.5203125000000006</v>
      </c>
      <c r="AW6" s="12">
        <f t="shared" si="5"/>
        <v>0.93385416666666665</v>
      </c>
      <c r="AX6" s="12">
        <f t="shared" si="5"/>
        <v>8.9583333333333334E-2</v>
      </c>
      <c r="AY6" s="20">
        <f t="shared" si="6"/>
        <v>3.8953125000000002</v>
      </c>
      <c r="AZ6" s="20">
        <f t="shared" si="7"/>
        <v>3.9848958333333333</v>
      </c>
      <c r="BA6" s="12">
        <v>3.2</v>
      </c>
      <c r="BB6" s="20">
        <f t="shared" si="0"/>
        <v>39.583333333333336</v>
      </c>
      <c r="BC6" s="20">
        <f t="shared" si="0"/>
        <v>366.66666666666674</v>
      </c>
      <c r="BD6" s="20">
        <f t="shared" si="0"/>
        <v>273.95833333333337</v>
      </c>
      <c r="BE6" s="20">
        <f t="shared" si="0"/>
        <v>70.833333333333343</v>
      </c>
      <c r="BF6" s="20">
        <f t="shared" si="0"/>
        <v>680.20833333333348</v>
      </c>
      <c r="BG6" s="20">
        <f t="shared" si="0"/>
        <v>751.04166666666674</v>
      </c>
      <c r="BH6" s="20">
        <f t="shared" si="1"/>
        <v>4.411458333333333</v>
      </c>
      <c r="BI6" s="20">
        <f t="shared" si="1"/>
        <v>25.203125000000007</v>
      </c>
      <c r="BJ6" s="20">
        <f t="shared" si="1"/>
        <v>9.3385416666666661</v>
      </c>
      <c r="BK6" s="20">
        <f t="shared" si="1"/>
        <v>0.89583333333333337</v>
      </c>
      <c r="BL6" s="20">
        <f t="shared" si="1"/>
        <v>38.953125</v>
      </c>
      <c r="BM6" s="20">
        <f t="shared" si="1"/>
        <v>39.848958333333336</v>
      </c>
    </row>
    <row r="7" spans="1:65" x14ac:dyDescent="0.45">
      <c r="A7" s="11" t="s">
        <v>37</v>
      </c>
      <c r="B7" s="11" t="s">
        <v>38</v>
      </c>
      <c r="C7" s="11">
        <v>4</v>
      </c>
      <c r="D7" s="12">
        <v>0.89750000000000008</v>
      </c>
      <c r="E7" s="12">
        <v>0.92</v>
      </c>
      <c r="F7" s="12">
        <v>0.95250000000000001</v>
      </c>
      <c r="G7" s="12">
        <v>1.0050000000000001</v>
      </c>
      <c r="H7" s="12">
        <v>1.0525</v>
      </c>
      <c r="I7" s="12">
        <v>1.1525000000000001</v>
      </c>
      <c r="J7" s="12">
        <v>1.3933333333333333</v>
      </c>
      <c r="K7" s="12">
        <v>1.4833333333333334</v>
      </c>
      <c r="L7" s="12">
        <v>1.1000000000000001</v>
      </c>
      <c r="M7" s="12">
        <v>1.125</v>
      </c>
      <c r="N7" s="12">
        <v>1.325</v>
      </c>
      <c r="O7" s="12">
        <v>1.375</v>
      </c>
      <c r="P7" s="12">
        <v>1.415</v>
      </c>
      <c r="Q7" s="12">
        <v>1.5499999999999998</v>
      </c>
      <c r="R7" s="12">
        <v>1.6</v>
      </c>
      <c r="S7" s="12">
        <v>1.675</v>
      </c>
      <c r="T7" s="12">
        <v>24.25</v>
      </c>
      <c r="U7" s="12">
        <v>24.25</v>
      </c>
      <c r="V7" s="12">
        <v>32.5</v>
      </c>
      <c r="W7" s="12">
        <v>14.238095238095239</v>
      </c>
      <c r="X7" s="12">
        <v>52</v>
      </c>
      <c r="Y7" s="12">
        <v>348</v>
      </c>
      <c r="Z7" s="12">
        <v>198</v>
      </c>
      <c r="AA7" s="12">
        <v>73</v>
      </c>
      <c r="AB7" s="12">
        <f t="shared" si="2"/>
        <v>5.416666666666667</v>
      </c>
      <c r="AC7" s="12">
        <f t="shared" si="2"/>
        <v>36.25</v>
      </c>
      <c r="AD7" s="12">
        <f t="shared" si="2"/>
        <v>20.625</v>
      </c>
      <c r="AE7" s="12">
        <f t="shared" si="2"/>
        <v>7.604166666666667</v>
      </c>
      <c r="AF7" s="20">
        <f t="shared" si="3"/>
        <v>62.291666666666664</v>
      </c>
      <c r="AG7" s="20">
        <f t="shared" si="4"/>
        <v>69.895833333333329</v>
      </c>
      <c r="AH7" s="12">
        <v>107.5</v>
      </c>
      <c r="AI7" s="12">
        <v>75.833333333333329</v>
      </c>
      <c r="AJ7" s="12">
        <v>30</v>
      </c>
      <c r="AK7" s="12">
        <v>5.3266666666666671</v>
      </c>
      <c r="AL7" s="12">
        <v>4.71</v>
      </c>
      <c r="AM7" s="12">
        <v>2.9733333333333332</v>
      </c>
      <c r="AN7" s="12">
        <v>6.6816666666666658</v>
      </c>
      <c r="AO7" s="12">
        <v>5.9716666666666676</v>
      </c>
      <c r="AP7" s="12">
        <v>3.7733333333333334</v>
      </c>
      <c r="AQ7" s="12">
        <v>5.7250000000000005</v>
      </c>
      <c r="AR7" s="12">
        <v>23.895</v>
      </c>
      <c r="AS7" s="12">
        <v>12.604999999999999</v>
      </c>
      <c r="AT7" s="20">
        <v>5.1549999999999994</v>
      </c>
      <c r="AU7" s="12">
        <f t="shared" si="5"/>
        <v>0.59635416666666674</v>
      </c>
      <c r="AV7" s="12">
        <f t="shared" si="5"/>
        <v>2.4890625000000002</v>
      </c>
      <c r="AW7" s="12">
        <f t="shared" si="5"/>
        <v>1.3130208333333333</v>
      </c>
      <c r="AX7" s="12">
        <f t="shared" si="5"/>
        <v>0.53697916666666667</v>
      </c>
      <c r="AY7" s="20">
        <f t="shared" si="6"/>
        <v>4.3984375</v>
      </c>
      <c r="AZ7" s="20">
        <f t="shared" si="7"/>
        <v>4.9354166666666668</v>
      </c>
      <c r="BA7" s="12">
        <v>4.3499999999999996</v>
      </c>
      <c r="BB7" s="20">
        <f t="shared" si="0"/>
        <v>54.166666666666671</v>
      </c>
      <c r="BC7" s="20">
        <f t="shared" si="0"/>
        <v>362.5</v>
      </c>
      <c r="BD7" s="20">
        <f t="shared" si="0"/>
        <v>206.25</v>
      </c>
      <c r="BE7" s="20">
        <f t="shared" si="0"/>
        <v>76.041666666666671</v>
      </c>
      <c r="BF7" s="20">
        <f t="shared" si="0"/>
        <v>622.91666666666663</v>
      </c>
      <c r="BG7" s="20">
        <f t="shared" si="0"/>
        <v>698.95833333333326</v>
      </c>
      <c r="BH7" s="20">
        <f t="shared" si="1"/>
        <v>5.9635416666666679</v>
      </c>
      <c r="BI7" s="20">
        <f t="shared" si="1"/>
        <v>24.890625</v>
      </c>
      <c r="BJ7" s="20">
        <f t="shared" si="1"/>
        <v>13.130208333333332</v>
      </c>
      <c r="BK7" s="20">
        <f t="shared" si="1"/>
        <v>5.369791666666667</v>
      </c>
      <c r="BL7" s="20">
        <f t="shared" si="1"/>
        <v>43.984375</v>
      </c>
      <c r="BM7" s="20">
        <f t="shared" si="1"/>
        <v>49.354166666666671</v>
      </c>
    </row>
    <row r="8" spans="1:65" x14ac:dyDescent="0.45">
      <c r="A8" s="11" t="s">
        <v>37</v>
      </c>
      <c r="B8" s="11" t="s">
        <v>39</v>
      </c>
      <c r="C8" s="11">
        <v>1</v>
      </c>
      <c r="D8" s="12">
        <v>0.86</v>
      </c>
      <c r="E8" s="12">
        <v>0.90500000000000003</v>
      </c>
      <c r="F8" s="12">
        <v>0.93</v>
      </c>
      <c r="G8" s="12">
        <v>0.99750000000000005</v>
      </c>
      <c r="H8" s="12">
        <v>1.0525</v>
      </c>
      <c r="I8" s="12">
        <v>1.1525000000000001</v>
      </c>
      <c r="J8" s="12">
        <v>1.3833333333333333</v>
      </c>
      <c r="K8" s="12">
        <v>1.4733333333333334</v>
      </c>
      <c r="L8" s="12">
        <v>1.0750000000000002</v>
      </c>
      <c r="M8" s="12">
        <v>1.1000000000000001</v>
      </c>
      <c r="N8" s="12">
        <v>1.2749999999999999</v>
      </c>
      <c r="O8" s="12">
        <v>1.325</v>
      </c>
      <c r="P8" s="12">
        <v>1.365</v>
      </c>
      <c r="Q8" s="12">
        <v>1.5249999999999999</v>
      </c>
      <c r="R8" s="12">
        <v>1.65</v>
      </c>
      <c r="S8" s="12">
        <v>1.65</v>
      </c>
      <c r="T8" s="12">
        <v>31.5</v>
      </c>
      <c r="U8" s="12">
        <v>31.5</v>
      </c>
      <c r="V8" s="12">
        <v>31.25</v>
      </c>
      <c r="W8" s="12">
        <v>18.833333333333336</v>
      </c>
      <c r="X8" s="12">
        <v>130</v>
      </c>
      <c r="Y8" s="12">
        <v>421</v>
      </c>
      <c r="Z8" s="12">
        <v>240</v>
      </c>
      <c r="AA8" s="12">
        <v>52</v>
      </c>
      <c r="AB8" s="12">
        <f t="shared" si="2"/>
        <v>13.541666666666668</v>
      </c>
      <c r="AC8" s="12">
        <f t="shared" si="2"/>
        <v>43.854166666666671</v>
      </c>
      <c r="AD8" s="12">
        <f t="shared" si="2"/>
        <v>25</v>
      </c>
      <c r="AE8" s="12">
        <f t="shared" si="2"/>
        <v>5.416666666666667</v>
      </c>
      <c r="AF8" s="20">
        <f t="shared" si="3"/>
        <v>82.395833333333343</v>
      </c>
      <c r="AG8" s="20">
        <f t="shared" si="4"/>
        <v>87.812500000000014</v>
      </c>
      <c r="AH8" s="12">
        <v>132.5</v>
      </c>
      <c r="AI8" s="12">
        <v>80</v>
      </c>
      <c r="AJ8" s="12">
        <v>40.833333333333336</v>
      </c>
      <c r="AK8" s="12">
        <v>5.5316666666666663</v>
      </c>
      <c r="AL8" s="12">
        <v>4.7316666666666665</v>
      </c>
      <c r="AM8" s="12">
        <v>3.7800000000000007</v>
      </c>
      <c r="AN8" s="12">
        <v>7.4616666666666669</v>
      </c>
      <c r="AO8" s="12">
        <v>6.3499999999999988</v>
      </c>
      <c r="AP8" s="12">
        <v>5.5033333333333339</v>
      </c>
      <c r="AQ8" s="12">
        <v>16.88</v>
      </c>
      <c r="AR8" s="12">
        <v>30.01</v>
      </c>
      <c r="AS8" s="12">
        <v>8.0949999999999989</v>
      </c>
      <c r="AT8" s="20">
        <v>0.91999999999999993</v>
      </c>
      <c r="AU8" s="12">
        <f t="shared" si="5"/>
        <v>1.7583333333333333</v>
      </c>
      <c r="AV8" s="12">
        <f t="shared" si="5"/>
        <v>3.1260416666666671</v>
      </c>
      <c r="AW8" s="12">
        <f t="shared" si="5"/>
        <v>0.84322916666666659</v>
      </c>
      <c r="AX8" s="12">
        <f t="shared" si="5"/>
        <v>9.5833333333333326E-2</v>
      </c>
      <c r="AY8" s="20">
        <f t="shared" si="6"/>
        <v>5.7276041666666666</v>
      </c>
      <c r="AZ8" s="20">
        <f t="shared" si="7"/>
        <v>5.8234374999999998</v>
      </c>
      <c r="BA8" s="12">
        <v>3.75</v>
      </c>
      <c r="BB8" s="20">
        <f t="shared" si="0"/>
        <v>135.41666666666669</v>
      </c>
      <c r="BC8" s="20">
        <f t="shared" si="0"/>
        <v>438.54166666666674</v>
      </c>
      <c r="BD8" s="20">
        <f t="shared" si="0"/>
        <v>250</v>
      </c>
      <c r="BE8" s="20">
        <f t="shared" si="0"/>
        <v>54.166666666666671</v>
      </c>
      <c r="BF8" s="20">
        <f t="shared" si="0"/>
        <v>823.95833333333348</v>
      </c>
      <c r="BG8" s="20">
        <f t="shared" si="0"/>
        <v>878.12500000000011</v>
      </c>
      <c r="BH8" s="20">
        <f t="shared" si="1"/>
        <v>17.583333333333332</v>
      </c>
      <c r="BI8" s="20">
        <f t="shared" si="1"/>
        <v>31.260416666666671</v>
      </c>
      <c r="BJ8" s="20">
        <f t="shared" si="1"/>
        <v>8.4322916666666661</v>
      </c>
      <c r="BK8" s="20">
        <f t="shared" si="1"/>
        <v>0.95833333333333326</v>
      </c>
      <c r="BL8" s="20">
        <f t="shared" si="1"/>
        <v>57.276041666666664</v>
      </c>
      <c r="BM8" s="20">
        <f t="shared" si="1"/>
        <v>58.234375</v>
      </c>
    </row>
    <row r="9" spans="1:65" x14ac:dyDescent="0.45">
      <c r="A9" s="11" t="s">
        <v>37</v>
      </c>
      <c r="B9" s="11" t="s">
        <v>39</v>
      </c>
      <c r="C9" s="11">
        <v>2</v>
      </c>
      <c r="D9" s="12">
        <v>0.90750000000000008</v>
      </c>
      <c r="E9" s="12">
        <v>0.96249999999999991</v>
      </c>
      <c r="F9" s="12">
        <v>1</v>
      </c>
      <c r="G9" s="12">
        <v>1.0874999999999999</v>
      </c>
      <c r="H9" s="12">
        <v>1.1274999999999999</v>
      </c>
      <c r="I9" s="12">
        <v>1.2275</v>
      </c>
      <c r="J9" s="12">
        <v>1.4699999999999998</v>
      </c>
      <c r="K9" s="12">
        <v>1.5599999999999998</v>
      </c>
      <c r="L9" s="12">
        <v>1.1499999999999999</v>
      </c>
      <c r="M9" s="12">
        <v>1.2250000000000001</v>
      </c>
      <c r="N9" s="12">
        <v>1.4500000000000002</v>
      </c>
      <c r="O9" s="12">
        <v>1.5000000000000002</v>
      </c>
      <c r="P9" s="12">
        <v>1.5400000000000003</v>
      </c>
      <c r="Q9" s="12">
        <v>1.5499999999999998</v>
      </c>
      <c r="R9" s="12">
        <v>1.6250000000000002</v>
      </c>
      <c r="S9" s="12">
        <v>1.7</v>
      </c>
      <c r="T9" s="12">
        <v>33</v>
      </c>
      <c r="U9" s="12">
        <v>33</v>
      </c>
      <c r="V9" s="12">
        <v>31.25</v>
      </c>
      <c r="W9" s="12">
        <v>18.238095238095237</v>
      </c>
      <c r="X9" s="12">
        <v>109</v>
      </c>
      <c r="Y9" s="12">
        <v>406</v>
      </c>
      <c r="Z9" s="12">
        <v>251</v>
      </c>
      <c r="AA9" s="12">
        <v>52</v>
      </c>
      <c r="AB9" s="12">
        <f t="shared" si="2"/>
        <v>11.354166666666668</v>
      </c>
      <c r="AC9" s="12">
        <f t="shared" si="2"/>
        <v>42.291666666666671</v>
      </c>
      <c r="AD9" s="12">
        <f t="shared" si="2"/>
        <v>26.145833333333336</v>
      </c>
      <c r="AE9" s="12">
        <f t="shared" si="2"/>
        <v>5.416666666666667</v>
      </c>
      <c r="AF9" s="20">
        <f t="shared" si="3"/>
        <v>79.791666666666686</v>
      </c>
      <c r="AG9" s="20">
        <f t="shared" si="4"/>
        <v>85.208333333333357</v>
      </c>
      <c r="AH9" s="12">
        <v>133.33333333333334</v>
      </c>
      <c r="AI9" s="12">
        <v>85.833333333333329</v>
      </c>
      <c r="AJ9" s="12">
        <v>37.5</v>
      </c>
      <c r="AK9" s="12">
        <v>5.541666666666667</v>
      </c>
      <c r="AL9" s="12">
        <v>4.6749999999999998</v>
      </c>
      <c r="AM9" s="12">
        <v>3.5283333333333329</v>
      </c>
      <c r="AN9" s="12">
        <v>7.498333333333334</v>
      </c>
      <c r="AO9" s="12">
        <v>6.501666666666666</v>
      </c>
      <c r="AP9" s="12">
        <v>4.8933333333333335</v>
      </c>
      <c r="AQ9" s="12">
        <v>14.299999999999997</v>
      </c>
      <c r="AR9" s="12">
        <v>27.725000000000001</v>
      </c>
      <c r="AS9" s="12">
        <v>7.7949999999999999</v>
      </c>
      <c r="AT9" s="20">
        <v>0.73499999999999988</v>
      </c>
      <c r="AU9" s="12">
        <f t="shared" si="5"/>
        <v>1.489583333333333</v>
      </c>
      <c r="AV9" s="12">
        <f t="shared" si="5"/>
        <v>2.8880208333333335</v>
      </c>
      <c r="AW9" s="12">
        <f t="shared" si="5"/>
        <v>0.8119791666666667</v>
      </c>
      <c r="AX9" s="12">
        <f t="shared" si="5"/>
        <v>7.6562499999999992E-2</v>
      </c>
      <c r="AY9" s="20">
        <f t="shared" si="6"/>
        <v>5.1895833333333332</v>
      </c>
      <c r="AZ9" s="20">
        <f t="shared" si="7"/>
        <v>5.2661458333333329</v>
      </c>
      <c r="BA9" s="12">
        <v>3.25</v>
      </c>
      <c r="BB9" s="20">
        <f t="shared" si="0"/>
        <v>113.54166666666669</v>
      </c>
      <c r="BC9" s="20">
        <f t="shared" si="0"/>
        <v>422.91666666666674</v>
      </c>
      <c r="BD9" s="20">
        <f t="shared" si="0"/>
        <v>261.45833333333337</v>
      </c>
      <c r="BE9" s="20">
        <f t="shared" si="0"/>
        <v>54.166666666666671</v>
      </c>
      <c r="BF9" s="20">
        <f t="shared" si="0"/>
        <v>797.91666666666686</v>
      </c>
      <c r="BG9" s="20">
        <f t="shared" si="0"/>
        <v>852.0833333333336</v>
      </c>
      <c r="BH9" s="20">
        <f t="shared" si="1"/>
        <v>14.89583333333333</v>
      </c>
      <c r="BI9" s="20">
        <f t="shared" si="1"/>
        <v>28.880208333333336</v>
      </c>
      <c r="BJ9" s="20">
        <f t="shared" si="1"/>
        <v>8.1197916666666679</v>
      </c>
      <c r="BK9" s="20">
        <f t="shared" si="1"/>
        <v>0.76562499999999989</v>
      </c>
      <c r="BL9" s="20">
        <f t="shared" si="1"/>
        <v>51.895833333333329</v>
      </c>
      <c r="BM9" s="20">
        <f t="shared" si="1"/>
        <v>52.661458333333329</v>
      </c>
    </row>
    <row r="10" spans="1:65" x14ac:dyDescent="0.45">
      <c r="A10" s="11" t="s">
        <v>37</v>
      </c>
      <c r="B10" s="11" t="s">
        <v>39</v>
      </c>
      <c r="C10" s="11">
        <v>3</v>
      </c>
      <c r="D10" s="12">
        <v>0.98499999999999999</v>
      </c>
      <c r="E10" s="12">
        <v>1.03</v>
      </c>
      <c r="F10" s="12">
        <v>1.0774999999999999</v>
      </c>
      <c r="G10" s="12">
        <v>1.0899999999999999</v>
      </c>
      <c r="H10" s="12">
        <v>1.1425000000000001</v>
      </c>
      <c r="I10" s="12">
        <v>1.2425000000000002</v>
      </c>
      <c r="J10" s="12">
        <v>1.4333333333333333</v>
      </c>
      <c r="K10" s="12">
        <v>1.5233333333333334</v>
      </c>
      <c r="L10" s="12">
        <v>1.0750000000000002</v>
      </c>
      <c r="M10" s="12">
        <v>1.2000000000000002</v>
      </c>
      <c r="N10" s="12">
        <v>1.425</v>
      </c>
      <c r="O10" s="12">
        <v>1.4750000000000001</v>
      </c>
      <c r="P10" s="12">
        <v>1.5150000000000001</v>
      </c>
      <c r="Q10" s="12">
        <v>1.5249999999999999</v>
      </c>
      <c r="R10" s="12">
        <v>1.5750000000000002</v>
      </c>
      <c r="S10" s="12">
        <v>1.675</v>
      </c>
      <c r="T10" s="12">
        <v>27</v>
      </c>
      <c r="U10" s="12">
        <v>27</v>
      </c>
      <c r="V10" s="12">
        <v>31.5</v>
      </c>
      <c r="W10" s="12">
        <v>17.166666666666668</v>
      </c>
      <c r="X10" s="12">
        <v>139</v>
      </c>
      <c r="Y10" s="12">
        <v>373</v>
      </c>
      <c r="Z10" s="12">
        <v>209</v>
      </c>
      <c r="AA10" s="12">
        <v>57</v>
      </c>
      <c r="AB10" s="12">
        <f t="shared" si="2"/>
        <v>14.479166666666668</v>
      </c>
      <c r="AC10" s="12">
        <f t="shared" si="2"/>
        <v>38.854166666666671</v>
      </c>
      <c r="AD10" s="12">
        <f t="shared" si="2"/>
        <v>21.770833333333336</v>
      </c>
      <c r="AE10" s="12">
        <f t="shared" si="2"/>
        <v>5.9375</v>
      </c>
      <c r="AF10" s="20">
        <f t="shared" si="3"/>
        <v>75.104166666666686</v>
      </c>
      <c r="AG10" s="20">
        <f t="shared" si="4"/>
        <v>81.041666666666686</v>
      </c>
      <c r="AH10" s="12">
        <v>124.16666666666667</v>
      </c>
      <c r="AI10" s="12">
        <v>84.166666666666671</v>
      </c>
      <c r="AJ10" s="12">
        <v>32.5</v>
      </c>
      <c r="AK10" s="12">
        <v>5.3433333333333337</v>
      </c>
      <c r="AL10" s="12">
        <v>4.8133333333333335</v>
      </c>
      <c r="AM10" s="12">
        <v>3.0266666666666668</v>
      </c>
      <c r="AN10" s="12">
        <v>7.1050000000000004</v>
      </c>
      <c r="AO10" s="12">
        <v>6.3999999999999995</v>
      </c>
      <c r="AP10" s="12">
        <v>4.1900000000000004</v>
      </c>
      <c r="AQ10" s="12">
        <v>16.215</v>
      </c>
      <c r="AR10" s="12">
        <v>25.91</v>
      </c>
      <c r="AS10" s="12">
        <v>9.7100000000000009</v>
      </c>
      <c r="AT10" s="20">
        <v>0.86499999999999999</v>
      </c>
      <c r="AU10" s="12">
        <f t="shared" si="5"/>
        <v>1.6890625000000001</v>
      </c>
      <c r="AV10" s="12">
        <f t="shared" si="5"/>
        <v>2.6989583333333336</v>
      </c>
      <c r="AW10" s="12">
        <f t="shared" si="5"/>
        <v>1.0114583333333336</v>
      </c>
      <c r="AX10" s="12">
        <f t="shared" si="5"/>
        <v>9.0104166666666666E-2</v>
      </c>
      <c r="AY10" s="20">
        <f t="shared" si="6"/>
        <v>5.3994791666666675</v>
      </c>
      <c r="AZ10" s="20">
        <f t="shared" si="7"/>
        <v>5.4895833333333339</v>
      </c>
      <c r="BA10" s="12">
        <v>4.8</v>
      </c>
      <c r="BB10" s="20">
        <f t="shared" si="0"/>
        <v>144.79166666666669</v>
      </c>
      <c r="BC10" s="20">
        <f t="shared" si="0"/>
        <v>388.54166666666674</v>
      </c>
      <c r="BD10" s="20">
        <f t="shared" si="0"/>
        <v>217.70833333333337</v>
      </c>
      <c r="BE10" s="20">
        <f t="shared" si="0"/>
        <v>59.375</v>
      </c>
      <c r="BF10" s="20">
        <f t="shared" si="0"/>
        <v>751.04166666666686</v>
      </c>
      <c r="BG10" s="20">
        <f t="shared" si="0"/>
        <v>810.41666666666686</v>
      </c>
      <c r="BH10" s="20">
        <f t="shared" si="1"/>
        <v>16.890625</v>
      </c>
      <c r="BI10" s="20">
        <f t="shared" si="1"/>
        <v>26.989583333333336</v>
      </c>
      <c r="BJ10" s="20">
        <f t="shared" si="1"/>
        <v>10.114583333333336</v>
      </c>
      <c r="BK10" s="20">
        <f t="shared" si="1"/>
        <v>0.90104166666666663</v>
      </c>
      <c r="BL10" s="20">
        <f t="shared" si="1"/>
        <v>53.994791666666671</v>
      </c>
      <c r="BM10" s="20">
        <f t="shared" si="1"/>
        <v>54.895833333333343</v>
      </c>
    </row>
    <row r="11" spans="1:65" x14ac:dyDescent="0.45">
      <c r="A11" s="11" t="s">
        <v>37</v>
      </c>
      <c r="B11" s="11" t="s">
        <v>39</v>
      </c>
      <c r="C11" s="11">
        <v>4</v>
      </c>
      <c r="D11" s="12">
        <v>0.86250000000000004</v>
      </c>
      <c r="E11" s="12">
        <v>0.89</v>
      </c>
      <c r="F11" s="12">
        <v>0.94500000000000006</v>
      </c>
      <c r="G11" s="12">
        <v>1.1375</v>
      </c>
      <c r="H11" s="12">
        <v>1.1875</v>
      </c>
      <c r="I11" s="12">
        <v>1.2875000000000001</v>
      </c>
      <c r="J11" s="12">
        <v>1.4933333333333332</v>
      </c>
      <c r="K11" s="12">
        <v>1.5833333333333333</v>
      </c>
      <c r="L11" s="12">
        <v>1.0249999999999999</v>
      </c>
      <c r="M11" s="12">
        <v>1.125</v>
      </c>
      <c r="N11" s="12">
        <v>1.25</v>
      </c>
      <c r="O11" s="12">
        <v>1.3</v>
      </c>
      <c r="P11" s="12">
        <v>1.34</v>
      </c>
      <c r="Q11" s="12">
        <v>1.6</v>
      </c>
      <c r="R11" s="12">
        <v>1.6250000000000002</v>
      </c>
      <c r="S11" s="12">
        <v>1.7249999999999999</v>
      </c>
      <c r="T11" s="12">
        <v>21.75</v>
      </c>
      <c r="U11" s="12">
        <v>31.75</v>
      </c>
      <c r="V11" s="12">
        <v>31.5</v>
      </c>
      <c r="W11" s="12">
        <v>15.952380952380953</v>
      </c>
      <c r="X11" s="12">
        <v>94</v>
      </c>
      <c r="Y11" s="12">
        <v>412</v>
      </c>
      <c r="Z11" s="12">
        <v>164</v>
      </c>
      <c r="AA11" s="12">
        <v>54</v>
      </c>
      <c r="AB11" s="12">
        <f t="shared" si="2"/>
        <v>9.7916666666666679</v>
      </c>
      <c r="AC11" s="12">
        <f t="shared" si="2"/>
        <v>42.916666666666671</v>
      </c>
      <c r="AD11" s="12">
        <f t="shared" si="2"/>
        <v>17.083333333333336</v>
      </c>
      <c r="AE11" s="12">
        <f t="shared" si="2"/>
        <v>5.625</v>
      </c>
      <c r="AF11" s="20">
        <f t="shared" si="3"/>
        <v>69.791666666666686</v>
      </c>
      <c r="AG11" s="20">
        <f t="shared" si="4"/>
        <v>75.416666666666686</v>
      </c>
      <c r="AH11" s="12">
        <v>127.5</v>
      </c>
      <c r="AI11" s="12">
        <v>84.166666666666671</v>
      </c>
      <c r="AJ11" s="12">
        <v>29.166666666666668</v>
      </c>
      <c r="AK11" s="12">
        <v>5.253333333333333</v>
      </c>
      <c r="AL11" s="12">
        <v>4.8466666666666658</v>
      </c>
      <c r="AM11" s="12">
        <v>2.9666666666666668</v>
      </c>
      <c r="AN11" s="12">
        <v>7.0283333333333324</v>
      </c>
      <c r="AO11" s="12">
        <v>6.371666666666667</v>
      </c>
      <c r="AP11" s="12">
        <v>4.0666666666666664</v>
      </c>
      <c r="AQ11" s="12">
        <v>11.28</v>
      </c>
      <c r="AR11" s="12">
        <v>27.72</v>
      </c>
      <c r="AS11" s="12">
        <v>5.4550000000000001</v>
      </c>
      <c r="AT11" s="20">
        <v>0.86499999999999999</v>
      </c>
      <c r="AU11" s="12">
        <f t="shared" si="5"/>
        <v>1.175</v>
      </c>
      <c r="AV11" s="12">
        <f t="shared" si="5"/>
        <v>2.8875000000000002</v>
      </c>
      <c r="AW11" s="12">
        <f t="shared" si="5"/>
        <v>0.56822916666666667</v>
      </c>
      <c r="AX11" s="12">
        <f t="shared" si="5"/>
        <v>9.0104166666666666E-2</v>
      </c>
      <c r="AY11" s="20">
        <f t="shared" si="6"/>
        <v>4.6307291666666668</v>
      </c>
      <c r="AZ11" s="20">
        <f t="shared" si="7"/>
        <v>4.7208333333333332</v>
      </c>
      <c r="BA11" s="12">
        <v>3.3</v>
      </c>
      <c r="BB11" s="20">
        <f t="shared" si="0"/>
        <v>97.916666666666686</v>
      </c>
      <c r="BC11" s="20">
        <f t="shared" si="0"/>
        <v>429.16666666666674</v>
      </c>
      <c r="BD11" s="20">
        <f t="shared" si="0"/>
        <v>170.83333333333337</v>
      </c>
      <c r="BE11" s="20">
        <f t="shared" si="0"/>
        <v>56.25</v>
      </c>
      <c r="BF11" s="20">
        <f t="shared" si="0"/>
        <v>697.91666666666686</v>
      </c>
      <c r="BG11" s="20">
        <f t="shared" si="0"/>
        <v>754.16666666666686</v>
      </c>
      <c r="BH11" s="20">
        <f t="shared" si="1"/>
        <v>11.75</v>
      </c>
      <c r="BI11" s="20">
        <f t="shared" si="1"/>
        <v>28.875</v>
      </c>
      <c r="BJ11" s="20">
        <f t="shared" si="1"/>
        <v>5.682291666666667</v>
      </c>
      <c r="BK11" s="20">
        <f t="shared" si="1"/>
        <v>0.90104166666666663</v>
      </c>
      <c r="BL11" s="20">
        <f t="shared" si="1"/>
        <v>46.307291666666671</v>
      </c>
      <c r="BM11" s="20">
        <f t="shared" si="1"/>
        <v>47.208333333333329</v>
      </c>
    </row>
    <row r="12" spans="1:65" x14ac:dyDescent="0.45">
      <c r="A12" s="11" t="s">
        <v>37</v>
      </c>
      <c r="B12" s="11" t="s">
        <v>40</v>
      </c>
      <c r="C12" s="11">
        <v>1</v>
      </c>
      <c r="D12" s="12">
        <v>0.75250000000000006</v>
      </c>
      <c r="E12" s="12">
        <v>0.76500000000000012</v>
      </c>
      <c r="F12" s="12">
        <v>0.79499999999999993</v>
      </c>
      <c r="G12" s="12">
        <v>0.93500000000000005</v>
      </c>
      <c r="H12" s="12">
        <v>1.02</v>
      </c>
      <c r="I12" s="12">
        <v>1.1200000000000001</v>
      </c>
      <c r="J12" s="12">
        <v>1.27</v>
      </c>
      <c r="K12" s="12">
        <v>1.36</v>
      </c>
      <c r="L12" s="12">
        <v>1.05</v>
      </c>
      <c r="M12" s="12">
        <v>1.1000000000000001</v>
      </c>
      <c r="N12" s="12">
        <v>1.375</v>
      </c>
      <c r="O12" s="12">
        <v>1.425</v>
      </c>
      <c r="P12" s="12">
        <v>1.4650000000000001</v>
      </c>
      <c r="Q12" s="12">
        <v>1.5499999999999998</v>
      </c>
      <c r="R12" s="12">
        <v>1.5750000000000002</v>
      </c>
      <c r="S12" s="12">
        <v>1.675</v>
      </c>
      <c r="T12" s="12">
        <v>22.5</v>
      </c>
      <c r="U12" s="12">
        <v>26.5</v>
      </c>
      <c r="V12" s="12">
        <v>32.5</v>
      </c>
      <c r="W12" s="12">
        <v>14.952380952380953</v>
      </c>
      <c r="X12" s="12">
        <v>80</v>
      </c>
      <c r="Y12" s="12">
        <v>311</v>
      </c>
      <c r="Z12" s="12">
        <v>237</v>
      </c>
      <c r="AA12" s="12">
        <v>92</v>
      </c>
      <c r="AB12" s="12">
        <f t="shared" si="2"/>
        <v>8.3333333333333339</v>
      </c>
      <c r="AC12" s="12">
        <f t="shared" si="2"/>
        <v>32.395833333333336</v>
      </c>
      <c r="AD12" s="12">
        <f t="shared" si="2"/>
        <v>24.6875</v>
      </c>
      <c r="AE12" s="12">
        <f t="shared" si="2"/>
        <v>9.5833333333333339</v>
      </c>
      <c r="AF12" s="20">
        <f t="shared" si="3"/>
        <v>65.416666666666671</v>
      </c>
      <c r="AG12" s="20">
        <f t="shared" si="4"/>
        <v>75</v>
      </c>
      <c r="AH12" s="12">
        <v>152.5</v>
      </c>
      <c r="AI12" s="12">
        <v>83.333333333333329</v>
      </c>
      <c r="AJ12" s="12">
        <v>39.166666666666664</v>
      </c>
      <c r="AK12" s="12">
        <v>5.8</v>
      </c>
      <c r="AL12" s="12">
        <v>4.7833333333333332</v>
      </c>
      <c r="AM12" s="12">
        <v>3.7783333333333338</v>
      </c>
      <c r="AN12" s="12">
        <v>7.378333333333333</v>
      </c>
      <c r="AO12" s="12">
        <v>6.2100000000000009</v>
      </c>
      <c r="AP12" s="12">
        <v>4.8449999999999998</v>
      </c>
      <c r="AQ12" s="12">
        <v>10.254999999999999</v>
      </c>
      <c r="AR12" s="12">
        <v>22.009999999999998</v>
      </c>
      <c r="AS12" s="12">
        <v>8.1</v>
      </c>
      <c r="AT12" s="20">
        <v>1.4849999999999999</v>
      </c>
      <c r="AU12" s="12">
        <f t="shared" si="5"/>
        <v>1.0682291666666666</v>
      </c>
      <c r="AV12" s="12">
        <f t="shared" si="5"/>
        <v>2.2927083333333331</v>
      </c>
      <c r="AW12" s="12">
        <f t="shared" si="5"/>
        <v>0.84375</v>
      </c>
      <c r="AX12" s="12">
        <f t="shared" si="5"/>
        <v>0.15468750000000001</v>
      </c>
      <c r="AY12" s="20">
        <f t="shared" si="6"/>
        <v>4.2046874999999995</v>
      </c>
      <c r="AZ12" s="20">
        <f t="shared" si="7"/>
        <v>4.3593749999999991</v>
      </c>
      <c r="BA12" s="12">
        <v>3.3</v>
      </c>
      <c r="BB12" s="20">
        <f t="shared" si="0"/>
        <v>83.333333333333343</v>
      </c>
      <c r="BC12" s="20">
        <f t="shared" si="0"/>
        <v>323.95833333333337</v>
      </c>
      <c r="BD12" s="20">
        <f t="shared" si="0"/>
        <v>246.875</v>
      </c>
      <c r="BE12" s="20">
        <f t="shared" si="0"/>
        <v>95.833333333333343</v>
      </c>
      <c r="BF12" s="20">
        <f t="shared" si="0"/>
        <v>654.16666666666674</v>
      </c>
      <c r="BG12" s="20">
        <f t="shared" si="0"/>
        <v>750</v>
      </c>
      <c r="BH12" s="20">
        <f t="shared" si="1"/>
        <v>10.682291666666666</v>
      </c>
      <c r="BI12" s="20">
        <f t="shared" si="1"/>
        <v>22.927083333333332</v>
      </c>
      <c r="BJ12" s="20">
        <f t="shared" si="1"/>
        <v>8.4375</v>
      </c>
      <c r="BK12" s="20">
        <f t="shared" si="1"/>
        <v>1.546875</v>
      </c>
      <c r="BL12" s="20">
        <f t="shared" si="1"/>
        <v>42.046874999999993</v>
      </c>
      <c r="BM12" s="20">
        <f t="shared" si="1"/>
        <v>43.593749999999993</v>
      </c>
    </row>
    <row r="13" spans="1:65" x14ac:dyDescent="0.45">
      <c r="A13" s="11" t="s">
        <v>37</v>
      </c>
      <c r="B13" s="11" t="s">
        <v>40</v>
      </c>
      <c r="C13" s="11">
        <v>2</v>
      </c>
      <c r="D13" s="12">
        <v>0.90749999999999997</v>
      </c>
      <c r="E13" s="12">
        <v>0.9375</v>
      </c>
      <c r="F13" s="12">
        <v>0.97250000000000003</v>
      </c>
      <c r="G13" s="12">
        <v>1.085</v>
      </c>
      <c r="H13" s="12">
        <v>1.1425000000000001</v>
      </c>
      <c r="I13" s="12">
        <v>1.2425000000000002</v>
      </c>
      <c r="J13" s="12">
        <v>1.4333333333333333</v>
      </c>
      <c r="K13" s="12">
        <v>1.5233333333333334</v>
      </c>
      <c r="L13" s="12">
        <v>1.125</v>
      </c>
      <c r="M13" s="12">
        <v>1.2250000000000001</v>
      </c>
      <c r="N13" s="12">
        <v>1.5249999999999999</v>
      </c>
      <c r="O13" s="12">
        <v>1.575</v>
      </c>
      <c r="P13" s="12">
        <v>1.615</v>
      </c>
      <c r="Q13" s="12">
        <v>1.6250000000000002</v>
      </c>
      <c r="R13" s="12">
        <v>1.6500000000000001</v>
      </c>
      <c r="S13" s="12">
        <v>1.675</v>
      </c>
      <c r="T13" s="12">
        <v>20</v>
      </c>
      <c r="U13" s="12">
        <v>30</v>
      </c>
      <c r="V13" s="12">
        <v>32</v>
      </c>
      <c r="W13" s="12">
        <v>16.761904761904763</v>
      </c>
      <c r="X13" s="12">
        <v>117</v>
      </c>
      <c r="Y13" s="12">
        <v>363</v>
      </c>
      <c r="Z13" s="12">
        <v>224</v>
      </c>
      <c r="AA13" s="12">
        <v>72</v>
      </c>
      <c r="AB13" s="12">
        <f t="shared" si="2"/>
        <v>12.1875</v>
      </c>
      <c r="AC13" s="12">
        <f t="shared" si="2"/>
        <v>37.8125</v>
      </c>
      <c r="AD13" s="12">
        <f t="shared" si="2"/>
        <v>23.333333333333336</v>
      </c>
      <c r="AE13" s="12">
        <f t="shared" si="2"/>
        <v>7.5</v>
      </c>
      <c r="AF13" s="20">
        <f t="shared" si="3"/>
        <v>73.333333333333343</v>
      </c>
      <c r="AG13" s="20">
        <f t="shared" si="4"/>
        <v>80.833333333333343</v>
      </c>
      <c r="AH13" s="12">
        <v>130</v>
      </c>
      <c r="AI13" s="12">
        <v>89.166666666666671</v>
      </c>
      <c r="AJ13" s="12">
        <v>37.5</v>
      </c>
      <c r="AK13" s="12">
        <v>5.6950000000000003</v>
      </c>
      <c r="AL13" s="12">
        <v>4.9549999999999992</v>
      </c>
      <c r="AM13" s="12">
        <v>3.5216666666666665</v>
      </c>
      <c r="AN13" s="12">
        <v>6.9549999999999992</v>
      </c>
      <c r="AO13" s="12">
        <v>6.19</v>
      </c>
      <c r="AP13" s="12">
        <v>4.6966666666666663</v>
      </c>
      <c r="AQ13" s="12">
        <v>14.475</v>
      </c>
      <c r="AR13" s="12">
        <v>25.204999999999998</v>
      </c>
      <c r="AS13" s="12">
        <v>8.4749999999999996</v>
      </c>
      <c r="AT13" s="20">
        <v>1.28</v>
      </c>
      <c r="AU13" s="12">
        <f t="shared" si="5"/>
        <v>1.5078125</v>
      </c>
      <c r="AV13" s="12">
        <f t="shared" si="5"/>
        <v>2.6255208333333333</v>
      </c>
      <c r="AW13" s="12">
        <f t="shared" si="5"/>
        <v>0.8828125</v>
      </c>
      <c r="AX13" s="12">
        <f t="shared" si="5"/>
        <v>0.13333333333333333</v>
      </c>
      <c r="AY13" s="20">
        <f t="shared" si="6"/>
        <v>5.0161458333333329</v>
      </c>
      <c r="AZ13" s="20">
        <f t="shared" si="7"/>
        <v>5.1494791666666666</v>
      </c>
      <c r="BA13" s="12">
        <v>3.5</v>
      </c>
      <c r="BB13" s="20">
        <f t="shared" si="0"/>
        <v>121.875</v>
      </c>
      <c r="BC13" s="20">
        <f t="shared" si="0"/>
        <v>378.125</v>
      </c>
      <c r="BD13" s="20">
        <f t="shared" si="0"/>
        <v>233.33333333333337</v>
      </c>
      <c r="BE13" s="20">
        <f t="shared" si="0"/>
        <v>75</v>
      </c>
      <c r="BF13" s="20">
        <f t="shared" si="0"/>
        <v>733.33333333333348</v>
      </c>
      <c r="BG13" s="20">
        <f t="shared" si="0"/>
        <v>808.33333333333348</v>
      </c>
      <c r="BH13" s="20">
        <f t="shared" si="1"/>
        <v>15.078125</v>
      </c>
      <c r="BI13" s="20">
        <f t="shared" si="1"/>
        <v>26.255208333333332</v>
      </c>
      <c r="BJ13" s="20">
        <f t="shared" si="1"/>
        <v>8.828125</v>
      </c>
      <c r="BK13" s="20">
        <f t="shared" si="1"/>
        <v>1.3333333333333333</v>
      </c>
      <c r="BL13" s="20">
        <f t="shared" si="1"/>
        <v>50.161458333333329</v>
      </c>
      <c r="BM13" s="20">
        <f t="shared" si="1"/>
        <v>51.494791666666664</v>
      </c>
    </row>
    <row r="14" spans="1:65" x14ac:dyDescent="0.45">
      <c r="A14" s="11" t="s">
        <v>37</v>
      </c>
      <c r="B14" s="11" t="s">
        <v>40</v>
      </c>
      <c r="C14" s="11">
        <v>3</v>
      </c>
      <c r="D14" s="12">
        <v>0.86</v>
      </c>
      <c r="E14" s="12">
        <v>0.89</v>
      </c>
      <c r="F14" s="12">
        <v>0.92999999999999994</v>
      </c>
      <c r="G14" s="12">
        <v>1.0175000000000001</v>
      </c>
      <c r="H14" s="12">
        <v>1.0625</v>
      </c>
      <c r="I14" s="12">
        <v>1.1625000000000001</v>
      </c>
      <c r="J14" s="12">
        <v>1.3266666666666667</v>
      </c>
      <c r="K14" s="12">
        <v>1.4166666666666667</v>
      </c>
      <c r="L14" s="12">
        <v>1.0750000000000002</v>
      </c>
      <c r="M14" s="12">
        <v>1.1499999999999999</v>
      </c>
      <c r="N14" s="12">
        <v>1.325</v>
      </c>
      <c r="O14" s="12">
        <v>1.375</v>
      </c>
      <c r="P14" s="12">
        <v>1.415</v>
      </c>
      <c r="Q14" s="12">
        <v>1.5249999999999999</v>
      </c>
      <c r="R14" s="12">
        <v>1.6</v>
      </c>
      <c r="S14" s="12">
        <v>1.675</v>
      </c>
      <c r="T14" s="12">
        <v>23.75</v>
      </c>
      <c r="U14" s="12">
        <v>23.75</v>
      </c>
      <c r="V14" s="12">
        <v>32.5</v>
      </c>
      <c r="W14" s="12">
        <v>17.642857142857142</v>
      </c>
      <c r="X14" s="12">
        <v>129</v>
      </c>
      <c r="Y14" s="12">
        <v>423</v>
      </c>
      <c r="Z14" s="12">
        <v>189</v>
      </c>
      <c r="AA14" s="12">
        <v>42</v>
      </c>
      <c r="AB14" s="12">
        <f t="shared" si="2"/>
        <v>13.4375</v>
      </c>
      <c r="AC14" s="12">
        <f t="shared" si="2"/>
        <v>44.0625</v>
      </c>
      <c r="AD14" s="12">
        <f t="shared" si="2"/>
        <v>19.6875</v>
      </c>
      <c r="AE14" s="12">
        <f t="shared" si="2"/>
        <v>4.375</v>
      </c>
      <c r="AF14" s="20">
        <f t="shared" si="3"/>
        <v>77.1875</v>
      </c>
      <c r="AG14" s="20">
        <f t="shared" si="4"/>
        <v>81.5625</v>
      </c>
      <c r="AH14" s="12">
        <v>135</v>
      </c>
      <c r="AI14" s="12">
        <v>86.666666666666671</v>
      </c>
      <c r="AJ14" s="12">
        <v>39.166666666666664</v>
      </c>
      <c r="AK14" s="12">
        <v>5.5583333333333336</v>
      </c>
      <c r="AL14" s="12">
        <v>5.0216666666666665</v>
      </c>
      <c r="AM14" s="12">
        <v>3.7733333333333334</v>
      </c>
      <c r="AN14" s="12">
        <v>6.2250000000000005</v>
      </c>
      <c r="AO14" s="12">
        <v>6.8183333333333325</v>
      </c>
      <c r="AP14" s="12">
        <v>4.9050000000000002</v>
      </c>
      <c r="AQ14" s="12">
        <v>15.535</v>
      </c>
      <c r="AR14" s="12">
        <v>24.28</v>
      </c>
      <c r="AS14" s="12">
        <v>6.93</v>
      </c>
      <c r="AT14" s="20">
        <v>0.65</v>
      </c>
      <c r="AU14" s="12">
        <f t="shared" si="5"/>
        <v>1.6182291666666668</v>
      </c>
      <c r="AV14" s="12">
        <f t="shared" si="5"/>
        <v>2.5291666666666668</v>
      </c>
      <c r="AW14" s="12">
        <f t="shared" si="5"/>
        <v>0.72187500000000004</v>
      </c>
      <c r="AX14" s="12">
        <f t="shared" si="5"/>
        <v>6.7708333333333343E-2</v>
      </c>
      <c r="AY14" s="20">
        <f t="shared" si="6"/>
        <v>4.8692708333333332</v>
      </c>
      <c r="AZ14" s="20">
        <f t="shared" si="7"/>
        <v>4.9369791666666663</v>
      </c>
      <c r="BA14" s="12">
        <v>4</v>
      </c>
      <c r="BB14" s="20">
        <f t="shared" si="0"/>
        <v>134.375</v>
      </c>
      <c r="BC14" s="20">
        <f t="shared" si="0"/>
        <v>440.625</v>
      </c>
      <c r="BD14" s="20">
        <f t="shared" si="0"/>
        <v>196.875</v>
      </c>
      <c r="BE14" s="20">
        <f t="shared" si="0"/>
        <v>43.75</v>
      </c>
      <c r="BF14" s="20">
        <f t="shared" si="0"/>
        <v>771.875</v>
      </c>
      <c r="BG14" s="20">
        <f t="shared" si="0"/>
        <v>815.625</v>
      </c>
      <c r="BH14" s="20">
        <f t="shared" si="1"/>
        <v>16.182291666666668</v>
      </c>
      <c r="BI14" s="20">
        <f t="shared" si="1"/>
        <v>25.291666666666668</v>
      </c>
      <c r="BJ14" s="20">
        <f t="shared" si="1"/>
        <v>7.21875</v>
      </c>
      <c r="BK14" s="20">
        <f t="shared" si="1"/>
        <v>0.67708333333333348</v>
      </c>
      <c r="BL14" s="20">
        <f t="shared" si="1"/>
        <v>48.692708333333329</v>
      </c>
      <c r="BM14" s="20">
        <f t="shared" si="1"/>
        <v>49.369791666666664</v>
      </c>
    </row>
    <row r="15" spans="1:65" x14ac:dyDescent="0.45">
      <c r="A15" s="11" t="s">
        <v>37</v>
      </c>
      <c r="B15" s="11" t="s">
        <v>40</v>
      </c>
      <c r="C15" s="11">
        <v>4</v>
      </c>
      <c r="D15" s="12">
        <v>0.85499999999999998</v>
      </c>
      <c r="E15" s="12">
        <v>0.88749999999999996</v>
      </c>
      <c r="F15" s="12">
        <v>0.90500000000000003</v>
      </c>
      <c r="G15" s="12">
        <v>0.99750000000000005</v>
      </c>
      <c r="H15" s="12">
        <v>1.0649999999999999</v>
      </c>
      <c r="I15" s="12">
        <v>1.165</v>
      </c>
      <c r="J15" s="12">
        <v>1.3299999999999998</v>
      </c>
      <c r="K15" s="12">
        <v>1.42</v>
      </c>
      <c r="L15" s="12">
        <v>1.1499999999999999</v>
      </c>
      <c r="M15" s="12">
        <v>1.175</v>
      </c>
      <c r="N15" s="12">
        <v>1.4</v>
      </c>
      <c r="O15" s="12">
        <v>1.45</v>
      </c>
      <c r="P15" s="12">
        <v>1.49</v>
      </c>
      <c r="Q15" s="12">
        <v>1.5499999999999998</v>
      </c>
      <c r="R15" s="12">
        <v>1.5499999999999998</v>
      </c>
      <c r="S15" s="12">
        <v>1.6250000000000002</v>
      </c>
      <c r="T15" s="12">
        <v>22.25</v>
      </c>
      <c r="U15" s="12">
        <v>32.25</v>
      </c>
      <c r="V15" s="12">
        <v>32.5</v>
      </c>
      <c r="W15" s="12">
        <v>15.714285714285714</v>
      </c>
      <c r="X15" s="12">
        <v>126</v>
      </c>
      <c r="Y15" s="12">
        <v>379</v>
      </c>
      <c r="Z15" s="12">
        <v>155</v>
      </c>
      <c r="AA15" s="12">
        <v>52</v>
      </c>
      <c r="AB15" s="12">
        <f t="shared" si="2"/>
        <v>13.125</v>
      </c>
      <c r="AC15" s="12">
        <f t="shared" si="2"/>
        <v>39.479166666666671</v>
      </c>
      <c r="AD15" s="12">
        <f t="shared" si="2"/>
        <v>16.145833333333336</v>
      </c>
      <c r="AE15" s="12">
        <f t="shared" si="2"/>
        <v>5.416666666666667</v>
      </c>
      <c r="AF15" s="20">
        <f t="shared" si="3"/>
        <v>68.75</v>
      </c>
      <c r="AG15" s="20">
        <f t="shared" si="4"/>
        <v>74.166666666666671</v>
      </c>
      <c r="AH15" s="12">
        <v>147.5</v>
      </c>
      <c r="AI15" s="12">
        <v>87.5</v>
      </c>
      <c r="AJ15" s="12">
        <v>39.166666666666664</v>
      </c>
      <c r="AK15" s="12">
        <v>5.2216666666666667</v>
      </c>
      <c r="AL15" s="12">
        <v>5.1100000000000003</v>
      </c>
      <c r="AM15" s="12">
        <v>69.00500000000001</v>
      </c>
      <c r="AN15" s="12">
        <v>6.5949999999999998</v>
      </c>
      <c r="AO15" s="12">
        <v>5.9750000000000005</v>
      </c>
      <c r="AP15" s="12">
        <v>4.16</v>
      </c>
      <c r="AQ15" s="12">
        <v>14.415000000000001</v>
      </c>
      <c r="AR15" s="12">
        <v>25.859999999999996</v>
      </c>
      <c r="AS15" s="12">
        <v>6.67</v>
      </c>
      <c r="AT15" s="20">
        <v>0.90500000000000003</v>
      </c>
      <c r="AU15" s="12">
        <f t="shared" si="5"/>
        <v>1.5015625000000001</v>
      </c>
      <c r="AV15" s="12">
        <f t="shared" si="5"/>
        <v>2.6937499999999996</v>
      </c>
      <c r="AW15" s="12">
        <f t="shared" si="5"/>
        <v>0.6947916666666667</v>
      </c>
      <c r="AX15" s="12">
        <f t="shared" si="5"/>
        <v>9.4270833333333345E-2</v>
      </c>
      <c r="AY15" s="20">
        <f t="shared" si="6"/>
        <v>4.8901041666666671</v>
      </c>
      <c r="AZ15" s="20">
        <f t="shared" si="7"/>
        <v>4.9843750000000009</v>
      </c>
      <c r="BA15" s="12">
        <v>3.5</v>
      </c>
      <c r="BB15" s="20">
        <f t="shared" si="0"/>
        <v>131.25</v>
      </c>
      <c r="BC15" s="20">
        <f t="shared" si="0"/>
        <v>394.79166666666674</v>
      </c>
      <c r="BD15" s="20">
        <f t="shared" si="0"/>
        <v>161.45833333333337</v>
      </c>
      <c r="BE15" s="20">
        <f t="shared" si="0"/>
        <v>54.166666666666671</v>
      </c>
      <c r="BF15" s="20">
        <f t="shared" si="0"/>
        <v>687.5</v>
      </c>
      <c r="BG15" s="20">
        <f t="shared" si="0"/>
        <v>741.66666666666674</v>
      </c>
      <c r="BH15" s="20">
        <f t="shared" si="1"/>
        <v>15.015625000000002</v>
      </c>
      <c r="BI15" s="20">
        <f t="shared" si="1"/>
        <v>26.937499999999996</v>
      </c>
      <c r="BJ15" s="20">
        <f t="shared" si="1"/>
        <v>6.947916666666667</v>
      </c>
      <c r="BK15" s="20">
        <f t="shared" si="1"/>
        <v>0.94270833333333348</v>
      </c>
      <c r="BL15" s="20">
        <f t="shared" si="1"/>
        <v>48.901041666666671</v>
      </c>
      <c r="BM15" s="20">
        <f t="shared" si="1"/>
        <v>49.843750000000007</v>
      </c>
    </row>
    <row r="16" spans="1:65" x14ac:dyDescent="0.45">
      <c r="A16" s="11" t="s">
        <v>37</v>
      </c>
      <c r="B16" s="11" t="s">
        <v>41</v>
      </c>
      <c r="C16" s="11">
        <v>1</v>
      </c>
      <c r="D16" s="12">
        <v>0.92500000000000004</v>
      </c>
      <c r="E16" s="12">
        <v>0.98750000000000004</v>
      </c>
      <c r="F16" s="12">
        <v>1.02</v>
      </c>
      <c r="G16" s="12">
        <v>1.145</v>
      </c>
      <c r="H16" s="12">
        <v>1.2050000000000001</v>
      </c>
      <c r="I16" s="12">
        <v>1.3050000000000002</v>
      </c>
      <c r="J16" s="12">
        <v>1.5166666666666666</v>
      </c>
      <c r="K16" s="12">
        <v>1.6066666666666667</v>
      </c>
      <c r="L16" s="12">
        <v>1.125</v>
      </c>
      <c r="M16" s="12">
        <v>1.1499999999999999</v>
      </c>
      <c r="N16" s="12">
        <v>1.3499999999999999</v>
      </c>
      <c r="O16" s="12">
        <v>1.4</v>
      </c>
      <c r="P16" s="12">
        <v>1.44</v>
      </c>
      <c r="Q16" s="12">
        <v>1.5249999999999999</v>
      </c>
      <c r="R16" s="12">
        <v>1.5499999999999998</v>
      </c>
      <c r="S16" s="12">
        <v>1.6500000000000001</v>
      </c>
      <c r="T16" s="12">
        <v>26.25</v>
      </c>
      <c r="U16" s="12">
        <v>26.25</v>
      </c>
      <c r="V16" s="12">
        <v>32.25</v>
      </c>
      <c r="W16" s="12">
        <v>13.642857142857142</v>
      </c>
      <c r="X16" s="12">
        <v>109</v>
      </c>
      <c r="Y16" s="12">
        <v>308</v>
      </c>
      <c r="Z16" s="12">
        <v>156</v>
      </c>
      <c r="AA16" s="12">
        <v>44</v>
      </c>
      <c r="AB16" s="12">
        <f t="shared" si="2"/>
        <v>11.354166666666668</v>
      </c>
      <c r="AC16" s="12">
        <f t="shared" si="2"/>
        <v>32.083333333333336</v>
      </c>
      <c r="AD16" s="12">
        <f t="shared" si="2"/>
        <v>16.25</v>
      </c>
      <c r="AE16" s="12">
        <f t="shared" si="2"/>
        <v>4.5833333333333339</v>
      </c>
      <c r="AF16" s="20">
        <f t="shared" si="3"/>
        <v>59.6875</v>
      </c>
      <c r="AG16" s="20">
        <f t="shared" si="4"/>
        <v>64.270833333333329</v>
      </c>
      <c r="AH16" s="12">
        <v>130.83333333333334</v>
      </c>
      <c r="AI16" s="12">
        <v>84.166666666666671</v>
      </c>
      <c r="AJ16" s="12">
        <v>35</v>
      </c>
      <c r="AK16" s="12">
        <v>5.57</v>
      </c>
      <c r="AL16" s="12">
        <v>4.7633333333333328</v>
      </c>
      <c r="AM16" s="12">
        <v>3.1983333333333337</v>
      </c>
      <c r="AN16" s="12">
        <v>7.3050000000000006</v>
      </c>
      <c r="AO16" s="12">
        <v>6.3483333333333327</v>
      </c>
      <c r="AP16" s="12">
        <v>4.4550000000000001</v>
      </c>
      <c r="AQ16" s="12">
        <v>13.99</v>
      </c>
      <c r="AR16" s="12">
        <v>22.745000000000001</v>
      </c>
      <c r="AS16" s="12">
        <v>5.6389999999999993</v>
      </c>
      <c r="AT16" s="20">
        <v>0.71499999999999997</v>
      </c>
      <c r="AU16" s="12">
        <f t="shared" si="5"/>
        <v>1.4572916666666667</v>
      </c>
      <c r="AV16" s="12">
        <f t="shared" si="5"/>
        <v>2.3692708333333337</v>
      </c>
      <c r="AW16" s="12">
        <f t="shared" si="5"/>
        <v>0.58739583333333334</v>
      </c>
      <c r="AX16" s="12">
        <f t="shared" si="5"/>
        <v>7.4479166666666666E-2</v>
      </c>
      <c r="AY16" s="20">
        <f t="shared" si="6"/>
        <v>4.4139583333333334</v>
      </c>
      <c r="AZ16" s="20">
        <f t="shared" si="7"/>
        <v>4.4884374999999999</v>
      </c>
      <c r="BA16" s="12">
        <v>4</v>
      </c>
      <c r="BB16" s="20">
        <f t="shared" si="0"/>
        <v>113.54166666666669</v>
      </c>
      <c r="BC16" s="20">
        <f t="shared" si="0"/>
        <v>320.83333333333337</v>
      </c>
      <c r="BD16" s="20">
        <f t="shared" si="0"/>
        <v>162.5</v>
      </c>
      <c r="BE16" s="20">
        <f t="shared" si="0"/>
        <v>45.833333333333343</v>
      </c>
      <c r="BF16" s="20">
        <f t="shared" si="0"/>
        <v>596.875</v>
      </c>
      <c r="BG16" s="20">
        <f t="shared" si="0"/>
        <v>642.70833333333326</v>
      </c>
      <c r="BH16" s="20">
        <f t="shared" si="1"/>
        <v>14.572916666666666</v>
      </c>
      <c r="BI16" s="20">
        <f t="shared" si="1"/>
        <v>23.692708333333336</v>
      </c>
      <c r="BJ16" s="20">
        <f t="shared" si="1"/>
        <v>5.8739583333333334</v>
      </c>
      <c r="BK16" s="20">
        <f t="shared" si="1"/>
        <v>0.74479166666666663</v>
      </c>
      <c r="BL16" s="20">
        <f t="shared" si="1"/>
        <v>44.139583333333334</v>
      </c>
      <c r="BM16" s="20">
        <f t="shared" si="1"/>
        <v>44.884374999999999</v>
      </c>
    </row>
    <row r="17" spans="1:65" x14ac:dyDescent="0.45">
      <c r="A17" s="11" t="s">
        <v>37</v>
      </c>
      <c r="B17" s="11" t="s">
        <v>41</v>
      </c>
      <c r="C17" s="11">
        <v>2</v>
      </c>
      <c r="D17" s="12">
        <v>0.95749999999999991</v>
      </c>
      <c r="E17" s="12">
        <v>1.0024999999999999</v>
      </c>
      <c r="F17" s="12">
        <v>1.03</v>
      </c>
      <c r="G17" s="12">
        <v>1.1525000000000001</v>
      </c>
      <c r="H17" s="12">
        <v>1.2050000000000001</v>
      </c>
      <c r="I17" s="12">
        <v>1.3050000000000002</v>
      </c>
      <c r="J17" s="12">
        <v>1.5166666666666666</v>
      </c>
      <c r="K17" s="12">
        <v>1.6066666666666667</v>
      </c>
      <c r="L17" s="12">
        <v>1.125</v>
      </c>
      <c r="M17" s="12">
        <v>1.125</v>
      </c>
      <c r="N17" s="12">
        <v>1.2250000000000001</v>
      </c>
      <c r="O17" s="12">
        <v>1.2750000000000001</v>
      </c>
      <c r="P17" s="12">
        <v>1.3150000000000002</v>
      </c>
      <c r="Q17" s="12">
        <v>1.5249999999999999</v>
      </c>
      <c r="R17" s="12">
        <v>1.5249999999999999</v>
      </c>
      <c r="S17" s="12">
        <v>1.625</v>
      </c>
      <c r="T17" s="12">
        <v>22.25</v>
      </c>
      <c r="U17" s="12">
        <v>26.25</v>
      </c>
      <c r="V17" s="12">
        <v>32.5</v>
      </c>
      <c r="W17" s="12">
        <v>13.857142857142858</v>
      </c>
      <c r="X17" s="12">
        <v>123</v>
      </c>
      <c r="Y17" s="12">
        <v>319</v>
      </c>
      <c r="Z17" s="12">
        <v>140</v>
      </c>
      <c r="AA17" s="12">
        <v>9</v>
      </c>
      <c r="AB17" s="12">
        <f t="shared" si="2"/>
        <v>12.8125</v>
      </c>
      <c r="AC17" s="12">
        <f t="shared" si="2"/>
        <v>33.229166666666671</v>
      </c>
      <c r="AD17" s="12">
        <f t="shared" si="2"/>
        <v>14.583333333333334</v>
      </c>
      <c r="AE17" s="12">
        <f t="shared" si="2"/>
        <v>0.9375</v>
      </c>
      <c r="AF17" s="20">
        <f t="shared" si="3"/>
        <v>60.625000000000007</v>
      </c>
      <c r="AG17" s="20">
        <f t="shared" si="4"/>
        <v>61.562500000000007</v>
      </c>
      <c r="AH17" s="12">
        <v>144.16666666666666</v>
      </c>
      <c r="AI17" s="12">
        <v>83.333333333333329</v>
      </c>
      <c r="AJ17" s="12">
        <v>38.333333333333336</v>
      </c>
      <c r="AK17" s="12">
        <v>5.98</v>
      </c>
      <c r="AL17" s="12">
        <v>5.001666666666666</v>
      </c>
      <c r="AM17" s="12">
        <v>3.7833333333333332</v>
      </c>
      <c r="AN17" s="12">
        <v>7.1466666666666674</v>
      </c>
      <c r="AO17" s="12">
        <v>6.3833333333333329</v>
      </c>
      <c r="AP17" s="12">
        <v>4.7699999999999996</v>
      </c>
      <c r="AQ17" s="12">
        <v>16.795000000000002</v>
      </c>
      <c r="AR17" s="12">
        <v>23.164999999999999</v>
      </c>
      <c r="AS17" s="12">
        <v>5.35</v>
      </c>
      <c r="AT17" s="20">
        <v>0.43000000000000005</v>
      </c>
      <c r="AU17" s="12">
        <f t="shared" si="5"/>
        <v>1.7494791666666669</v>
      </c>
      <c r="AV17" s="12">
        <f t="shared" si="5"/>
        <v>2.4130208333333334</v>
      </c>
      <c r="AW17" s="12">
        <f t="shared" si="5"/>
        <v>0.55729166666666663</v>
      </c>
      <c r="AX17" s="12">
        <f t="shared" si="5"/>
        <v>4.4791666666666674E-2</v>
      </c>
      <c r="AY17" s="20">
        <f t="shared" si="6"/>
        <v>4.7197916666666675</v>
      </c>
      <c r="AZ17" s="20">
        <f t="shared" si="7"/>
        <v>4.7645833333333343</v>
      </c>
      <c r="BA17" s="12">
        <v>3.8</v>
      </c>
      <c r="BB17" s="20">
        <f t="shared" si="0"/>
        <v>128.125</v>
      </c>
      <c r="BC17" s="20">
        <f t="shared" si="0"/>
        <v>332.29166666666674</v>
      </c>
      <c r="BD17" s="20">
        <f t="shared" si="0"/>
        <v>145.83333333333334</v>
      </c>
      <c r="BE17" s="20">
        <f t="shared" si="0"/>
        <v>9.375</v>
      </c>
      <c r="BF17" s="20">
        <f t="shared" si="0"/>
        <v>606.25000000000011</v>
      </c>
      <c r="BG17" s="20">
        <f t="shared" si="0"/>
        <v>615.62500000000011</v>
      </c>
      <c r="BH17" s="20">
        <f t="shared" si="1"/>
        <v>17.494791666666668</v>
      </c>
      <c r="BI17" s="20">
        <f t="shared" si="1"/>
        <v>24.130208333333336</v>
      </c>
      <c r="BJ17" s="20">
        <f t="shared" si="1"/>
        <v>5.5729166666666661</v>
      </c>
      <c r="BK17" s="20">
        <f t="shared" si="1"/>
        <v>0.44791666666666674</v>
      </c>
      <c r="BL17" s="20">
        <f t="shared" si="1"/>
        <v>47.197916666666671</v>
      </c>
      <c r="BM17" s="20">
        <f t="shared" si="1"/>
        <v>47.645833333333343</v>
      </c>
    </row>
    <row r="18" spans="1:65" x14ac:dyDescent="0.45">
      <c r="A18" s="11" t="s">
        <v>37</v>
      </c>
      <c r="B18" s="11" t="s">
        <v>41</v>
      </c>
      <c r="C18" s="11">
        <v>3</v>
      </c>
      <c r="D18" s="12">
        <v>0.92675000000000007</v>
      </c>
      <c r="E18" s="12">
        <v>0.94499999999999995</v>
      </c>
      <c r="F18" s="12">
        <v>1.0075000000000001</v>
      </c>
      <c r="G18" s="12">
        <v>1.1749999999999998</v>
      </c>
      <c r="H18" s="12">
        <v>1.2125000000000001</v>
      </c>
      <c r="I18" s="12">
        <v>1.3125000000000002</v>
      </c>
      <c r="J18" s="12">
        <v>1.5266666666666668</v>
      </c>
      <c r="K18" s="12">
        <v>1.6166666666666669</v>
      </c>
      <c r="L18" s="12">
        <v>1.1500000000000001</v>
      </c>
      <c r="M18" s="12">
        <v>1.2250000000000001</v>
      </c>
      <c r="N18" s="12">
        <v>1.35</v>
      </c>
      <c r="O18" s="12">
        <v>1.4000000000000001</v>
      </c>
      <c r="P18" s="12">
        <v>1.4400000000000002</v>
      </c>
      <c r="Q18" s="12">
        <v>1.5</v>
      </c>
      <c r="R18" s="12">
        <v>1.5750000000000002</v>
      </c>
      <c r="S18" s="12">
        <v>1.6500000000000001</v>
      </c>
      <c r="T18" s="12">
        <v>41</v>
      </c>
      <c r="U18" s="12">
        <v>41</v>
      </c>
      <c r="V18" s="12">
        <v>32.25</v>
      </c>
      <c r="W18" s="12">
        <v>12.952380952380953</v>
      </c>
      <c r="X18" s="12">
        <v>73</v>
      </c>
      <c r="Y18" s="12">
        <v>330</v>
      </c>
      <c r="Z18" s="12">
        <v>141</v>
      </c>
      <c r="AA18" s="12">
        <v>40</v>
      </c>
      <c r="AB18" s="12">
        <f t="shared" si="2"/>
        <v>7.604166666666667</v>
      </c>
      <c r="AC18" s="12">
        <f t="shared" si="2"/>
        <v>34.375</v>
      </c>
      <c r="AD18" s="12">
        <f t="shared" si="2"/>
        <v>14.6875</v>
      </c>
      <c r="AE18" s="12">
        <f t="shared" si="2"/>
        <v>4.166666666666667</v>
      </c>
      <c r="AF18" s="20">
        <f t="shared" si="3"/>
        <v>56.666666666666664</v>
      </c>
      <c r="AG18" s="20">
        <f t="shared" si="4"/>
        <v>60.833333333333329</v>
      </c>
      <c r="AH18" s="12">
        <v>135.83333333333334</v>
      </c>
      <c r="AI18" s="12">
        <v>85.833333333333329</v>
      </c>
      <c r="AJ18" s="12">
        <v>38.333333333333336</v>
      </c>
      <c r="AK18" s="12">
        <v>5.73</v>
      </c>
      <c r="AL18" s="12">
        <v>4.6916666666666673</v>
      </c>
      <c r="AM18" s="12">
        <v>3.6383333333333332</v>
      </c>
      <c r="AN18" s="12">
        <v>7.3299999999999983</v>
      </c>
      <c r="AO18" s="12">
        <v>6.3583333333333334</v>
      </c>
      <c r="AP18" s="12">
        <v>5.1566666666666672</v>
      </c>
      <c r="AQ18" s="12">
        <v>9.625</v>
      </c>
      <c r="AR18" s="12">
        <v>25.858000000000001</v>
      </c>
      <c r="AS18" s="12">
        <v>5.16</v>
      </c>
      <c r="AT18" s="20">
        <v>3.6700000000000004</v>
      </c>
      <c r="AU18" s="12">
        <f t="shared" si="5"/>
        <v>1.0026041666666667</v>
      </c>
      <c r="AV18" s="12">
        <f t="shared" si="5"/>
        <v>2.6935416666666669</v>
      </c>
      <c r="AW18" s="12">
        <f t="shared" si="5"/>
        <v>0.53750000000000009</v>
      </c>
      <c r="AX18" s="12">
        <f t="shared" si="5"/>
        <v>0.3822916666666667</v>
      </c>
      <c r="AY18" s="20">
        <f t="shared" si="6"/>
        <v>4.233645833333334</v>
      </c>
      <c r="AZ18" s="20">
        <f t="shared" si="7"/>
        <v>4.6159375000000011</v>
      </c>
      <c r="BA18" s="12">
        <v>4.0999999999999996</v>
      </c>
      <c r="BB18" s="20">
        <f t="shared" si="0"/>
        <v>76.041666666666671</v>
      </c>
      <c r="BC18" s="20">
        <f t="shared" si="0"/>
        <v>343.75</v>
      </c>
      <c r="BD18" s="20">
        <f t="shared" si="0"/>
        <v>146.875</v>
      </c>
      <c r="BE18" s="20">
        <f t="shared" si="0"/>
        <v>41.666666666666671</v>
      </c>
      <c r="BF18" s="20">
        <f t="shared" si="0"/>
        <v>566.66666666666663</v>
      </c>
      <c r="BG18" s="20">
        <f t="shared" si="0"/>
        <v>608.33333333333326</v>
      </c>
      <c r="BH18" s="20">
        <f t="shared" si="1"/>
        <v>10.026041666666668</v>
      </c>
      <c r="BI18" s="20">
        <f t="shared" si="1"/>
        <v>26.935416666666669</v>
      </c>
      <c r="BJ18" s="20">
        <f t="shared" si="1"/>
        <v>5.3750000000000009</v>
      </c>
      <c r="BK18" s="20">
        <f t="shared" si="1"/>
        <v>3.822916666666667</v>
      </c>
      <c r="BL18" s="20">
        <f t="shared" si="1"/>
        <v>42.33645833333334</v>
      </c>
      <c r="BM18" s="20">
        <f t="shared" si="1"/>
        <v>46.159375000000011</v>
      </c>
    </row>
    <row r="19" spans="1:65" x14ac:dyDescent="0.45">
      <c r="A19" s="11" t="s">
        <v>37</v>
      </c>
      <c r="B19" s="11" t="s">
        <v>41</v>
      </c>
      <c r="C19" s="11">
        <v>4</v>
      </c>
      <c r="D19" s="12">
        <v>1.06</v>
      </c>
      <c r="E19" s="12">
        <v>1.0950000000000002</v>
      </c>
      <c r="F19" s="12">
        <v>1.1274999999999999</v>
      </c>
      <c r="G19" s="12">
        <v>1.1950000000000001</v>
      </c>
      <c r="H19" s="12">
        <v>1.2450000000000001</v>
      </c>
      <c r="I19" s="12">
        <v>1.3450000000000002</v>
      </c>
      <c r="J19" s="12">
        <v>1.57</v>
      </c>
      <c r="K19" s="12">
        <v>1.6600000000000001</v>
      </c>
      <c r="L19" s="12">
        <v>1.0249999999999999</v>
      </c>
      <c r="M19" s="12">
        <v>1.0249999999999999</v>
      </c>
      <c r="N19" s="12">
        <v>1.1000000000000001</v>
      </c>
      <c r="O19" s="12">
        <v>1.1500000000000001</v>
      </c>
      <c r="P19" s="12">
        <v>1.1900000000000002</v>
      </c>
      <c r="Q19" s="12">
        <v>1.5500000000000003</v>
      </c>
      <c r="R19" s="12">
        <v>1.5750000000000002</v>
      </c>
      <c r="S19" s="12">
        <v>1.6749999999999998</v>
      </c>
      <c r="T19" s="12">
        <v>24.5</v>
      </c>
      <c r="U19" s="12">
        <v>34.5</v>
      </c>
      <c r="V19" s="12">
        <v>32.5</v>
      </c>
      <c r="W19" s="12">
        <v>12.523809523809524</v>
      </c>
      <c r="X19" s="12">
        <v>106</v>
      </c>
      <c r="Y19" s="12">
        <v>298</v>
      </c>
      <c r="Z19" s="12">
        <v>122</v>
      </c>
      <c r="AA19" s="12">
        <v>36</v>
      </c>
      <c r="AB19" s="12">
        <f t="shared" si="2"/>
        <v>11.041666666666668</v>
      </c>
      <c r="AC19" s="12">
        <f t="shared" si="2"/>
        <v>31.041666666666668</v>
      </c>
      <c r="AD19" s="12">
        <f t="shared" si="2"/>
        <v>12.708333333333334</v>
      </c>
      <c r="AE19" s="12">
        <f t="shared" si="2"/>
        <v>3.75</v>
      </c>
      <c r="AF19" s="20">
        <f t="shared" si="3"/>
        <v>54.791666666666671</v>
      </c>
      <c r="AG19" s="20">
        <f t="shared" si="4"/>
        <v>58.541666666666671</v>
      </c>
      <c r="AH19" s="12">
        <v>148.33333333333334</v>
      </c>
      <c r="AI19" s="12">
        <v>85.833333333333329</v>
      </c>
      <c r="AJ19" s="12">
        <v>40</v>
      </c>
      <c r="AK19" s="12">
        <v>5.8183333333333325</v>
      </c>
      <c r="AL19" s="12">
        <v>4.8466666666666667</v>
      </c>
      <c r="AM19" s="12">
        <v>3.8249999999999997</v>
      </c>
      <c r="AN19" s="12">
        <v>7.3500000000000014</v>
      </c>
      <c r="AO19" s="12">
        <v>6.37</v>
      </c>
      <c r="AP19" s="12">
        <v>5.1100000000000003</v>
      </c>
      <c r="AQ19" s="12">
        <v>16.315000000000001</v>
      </c>
      <c r="AR19" s="12">
        <v>24.184999999999999</v>
      </c>
      <c r="AS19" s="12">
        <v>6.7750000000000004</v>
      </c>
      <c r="AT19" s="20">
        <v>0.71499999999999997</v>
      </c>
      <c r="AU19" s="12">
        <f t="shared" si="5"/>
        <v>1.6994791666666669</v>
      </c>
      <c r="AV19" s="12">
        <f t="shared" si="5"/>
        <v>2.5192708333333331</v>
      </c>
      <c r="AW19" s="12">
        <f t="shared" si="5"/>
        <v>0.70572916666666674</v>
      </c>
      <c r="AX19" s="12">
        <f t="shared" si="5"/>
        <v>7.4479166666666666E-2</v>
      </c>
      <c r="AY19" s="20">
        <f t="shared" si="6"/>
        <v>4.924479166666667</v>
      </c>
      <c r="AZ19" s="20">
        <f t="shared" si="7"/>
        <v>4.9989583333333334</v>
      </c>
      <c r="BA19" s="12">
        <v>3.4</v>
      </c>
      <c r="BB19" s="20">
        <f t="shared" si="0"/>
        <v>110.41666666666669</v>
      </c>
      <c r="BC19" s="20">
        <f t="shared" si="0"/>
        <v>310.41666666666669</v>
      </c>
      <c r="BD19" s="20">
        <f t="shared" si="0"/>
        <v>127.08333333333334</v>
      </c>
      <c r="BE19" s="20">
        <f t="shared" si="0"/>
        <v>37.5</v>
      </c>
      <c r="BF19" s="20">
        <f t="shared" si="0"/>
        <v>547.91666666666674</v>
      </c>
      <c r="BG19" s="20">
        <f t="shared" si="0"/>
        <v>585.41666666666674</v>
      </c>
      <c r="BH19" s="20">
        <f t="shared" si="1"/>
        <v>16.994791666666668</v>
      </c>
      <c r="BI19" s="20">
        <f t="shared" si="1"/>
        <v>25.192708333333332</v>
      </c>
      <c r="BJ19" s="20">
        <f t="shared" si="1"/>
        <v>7.0572916666666679</v>
      </c>
      <c r="BK19" s="20">
        <f t="shared" si="1"/>
        <v>0.74479166666666663</v>
      </c>
      <c r="BL19" s="20">
        <f t="shared" si="1"/>
        <v>49.244791666666671</v>
      </c>
      <c r="BM19" s="20">
        <f t="shared" si="1"/>
        <v>49.989583333333336</v>
      </c>
    </row>
    <row r="20" spans="1:65" x14ac:dyDescent="0.45">
      <c r="A20" s="11" t="s">
        <v>42</v>
      </c>
      <c r="B20" s="11" t="s">
        <v>38</v>
      </c>
      <c r="C20" s="11">
        <v>1</v>
      </c>
      <c r="D20" s="12">
        <v>0.7975000000000001</v>
      </c>
      <c r="E20" s="12">
        <v>0.83250000000000002</v>
      </c>
      <c r="F20" s="12">
        <v>0.85250000000000004</v>
      </c>
      <c r="G20" s="12">
        <v>0.8899999999999999</v>
      </c>
      <c r="H20" s="12">
        <v>0.98499999999999999</v>
      </c>
      <c r="I20" s="12">
        <v>1.085</v>
      </c>
      <c r="J20" s="12">
        <v>1.2233333333333332</v>
      </c>
      <c r="K20" s="12">
        <v>1.3133333333333332</v>
      </c>
      <c r="L20" s="12">
        <v>1.125</v>
      </c>
      <c r="M20" s="12">
        <v>1.2000000000000002</v>
      </c>
      <c r="N20" s="12">
        <v>1.325</v>
      </c>
      <c r="O20" s="12">
        <v>1.375</v>
      </c>
      <c r="P20" s="12">
        <v>1.415</v>
      </c>
      <c r="Q20" s="12">
        <v>1.5249999999999999</v>
      </c>
      <c r="R20" s="12">
        <v>1.55</v>
      </c>
      <c r="S20" s="12">
        <v>1.625</v>
      </c>
      <c r="T20" s="12">
        <v>23</v>
      </c>
      <c r="U20" s="12">
        <v>23</v>
      </c>
      <c r="V20" s="12">
        <v>32.25</v>
      </c>
      <c r="W20" s="12">
        <v>18.476190476190478</v>
      </c>
      <c r="X20" s="12">
        <v>123</v>
      </c>
      <c r="Y20" s="12">
        <v>456</v>
      </c>
      <c r="Z20" s="12">
        <v>197</v>
      </c>
      <c r="AA20" s="12">
        <v>61</v>
      </c>
      <c r="AB20" s="12">
        <f t="shared" si="2"/>
        <v>12.8125</v>
      </c>
      <c r="AC20" s="12">
        <f t="shared" si="2"/>
        <v>47.5</v>
      </c>
      <c r="AD20" s="12">
        <f t="shared" si="2"/>
        <v>20.520833333333336</v>
      </c>
      <c r="AE20" s="12">
        <f t="shared" si="2"/>
        <v>6.354166666666667</v>
      </c>
      <c r="AF20" s="20">
        <f t="shared" si="3"/>
        <v>80.833333333333343</v>
      </c>
      <c r="AG20" s="20">
        <f t="shared" si="4"/>
        <v>87.187500000000014</v>
      </c>
      <c r="AH20" s="12">
        <v>135</v>
      </c>
      <c r="AI20" s="12">
        <v>93.333333333333329</v>
      </c>
      <c r="AJ20" s="12">
        <v>40</v>
      </c>
      <c r="AK20" s="12">
        <v>5.871666666666667</v>
      </c>
      <c r="AL20" s="12">
        <v>5.19</v>
      </c>
      <c r="AM20" s="12">
        <v>3.82</v>
      </c>
      <c r="AN20" s="12">
        <v>7.1083333333333334</v>
      </c>
      <c r="AO20" s="12">
        <v>6.205000000000001</v>
      </c>
      <c r="AP20" s="12">
        <v>4.7683333333333335</v>
      </c>
      <c r="AQ20" s="12">
        <v>15.179999999999998</v>
      </c>
      <c r="AR20" s="12">
        <v>33.53</v>
      </c>
      <c r="AS20" s="12">
        <v>7.3900000000000006</v>
      </c>
      <c r="AT20" s="20">
        <v>1.37</v>
      </c>
      <c r="AU20" s="12">
        <f t="shared" si="5"/>
        <v>1.5812499999999998</v>
      </c>
      <c r="AV20" s="12">
        <f t="shared" si="5"/>
        <v>3.4927083333333337</v>
      </c>
      <c r="AW20" s="12">
        <f t="shared" si="5"/>
        <v>0.76979166666666676</v>
      </c>
      <c r="AX20" s="12">
        <f t="shared" si="5"/>
        <v>0.14270833333333335</v>
      </c>
      <c r="AY20" s="20">
        <f t="shared" si="6"/>
        <v>5.84375</v>
      </c>
      <c r="AZ20" s="20">
        <f t="shared" si="7"/>
        <v>5.9864583333333332</v>
      </c>
      <c r="BA20" s="12">
        <v>3.4</v>
      </c>
      <c r="BB20" s="20">
        <f t="shared" si="0"/>
        <v>128.125</v>
      </c>
      <c r="BC20" s="20">
        <f t="shared" si="0"/>
        <v>475</v>
      </c>
      <c r="BD20" s="20">
        <f t="shared" si="0"/>
        <v>205.20833333333337</v>
      </c>
      <c r="BE20" s="20">
        <f t="shared" si="0"/>
        <v>63.541666666666671</v>
      </c>
      <c r="BF20" s="20">
        <f t="shared" si="0"/>
        <v>808.33333333333348</v>
      </c>
      <c r="BG20" s="20">
        <f t="shared" si="0"/>
        <v>871.87500000000011</v>
      </c>
      <c r="BH20" s="20">
        <f t="shared" ref="BH20:BM35" si="8">AU20*(10000/1000)</f>
        <v>15.812499999999998</v>
      </c>
      <c r="BI20" s="20">
        <f t="shared" si="8"/>
        <v>34.927083333333336</v>
      </c>
      <c r="BJ20" s="20">
        <f t="shared" si="8"/>
        <v>7.6979166666666679</v>
      </c>
      <c r="BK20" s="20">
        <f t="shared" si="8"/>
        <v>1.4270833333333335</v>
      </c>
      <c r="BL20" s="20">
        <f t="shared" si="8"/>
        <v>58.4375</v>
      </c>
      <c r="BM20" s="20">
        <f t="shared" si="8"/>
        <v>59.864583333333329</v>
      </c>
    </row>
    <row r="21" spans="1:65" x14ac:dyDescent="0.45">
      <c r="A21" s="11" t="s">
        <v>42</v>
      </c>
      <c r="B21" s="11" t="s">
        <v>38</v>
      </c>
      <c r="C21" s="11">
        <v>2</v>
      </c>
      <c r="D21" s="12">
        <v>0.91499999999999992</v>
      </c>
      <c r="E21" s="12">
        <v>0.94499999999999995</v>
      </c>
      <c r="F21" s="12">
        <v>0.94499999999999995</v>
      </c>
      <c r="G21" s="12">
        <v>0.97250000000000003</v>
      </c>
      <c r="H21" s="12">
        <v>1.06</v>
      </c>
      <c r="I21" s="12">
        <v>1.1600000000000001</v>
      </c>
      <c r="J21" s="12">
        <v>1.3233333333333333</v>
      </c>
      <c r="K21" s="12">
        <v>1.4133333333333333</v>
      </c>
      <c r="L21" s="12">
        <v>1.1499999999999999</v>
      </c>
      <c r="M21" s="12">
        <v>1.25</v>
      </c>
      <c r="N21" s="12">
        <v>1.375</v>
      </c>
      <c r="O21" s="12">
        <v>1.425</v>
      </c>
      <c r="P21" s="12">
        <v>1.4650000000000001</v>
      </c>
      <c r="Q21" s="12">
        <v>1.425</v>
      </c>
      <c r="R21" s="12">
        <v>1.5249999999999999</v>
      </c>
      <c r="S21" s="12">
        <v>1.6</v>
      </c>
      <c r="T21" s="12">
        <v>18</v>
      </c>
      <c r="U21" s="12">
        <v>18</v>
      </c>
      <c r="V21" s="12">
        <v>32.25</v>
      </c>
      <c r="W21" s="12">
        <v>17.80952380952381</v>
      </c>
      <c r="X21" s="12">
        <v>135</v>
      </c>
      <c r="Y21" s="12">
        <v>425</v>
      </c>
      <c r="Z21" s="12">
        <v>188</v>
      </c>
      <c r="AA21" s="12">
        <v>63</v>
      </c>
      <c r="AB21" s="12">
        <f t="shared" si="2"/>
        <v>14.0625</v>
      </c>
      <c r="AC21" s="12">
        <f t="shared" si="2"/>
        <v>44.270833333333336</v>
      </c>
      <c r="AD21" s="12">
        <f t="shared" si="2"/>
        <v>19.583333333333336</v>
      </c>
      <c r="AE21" s="12">
        <f t="shared" si="2"/>
        <v>6.5625</v>
      </c>
      <c r="AF21" s="20">
        <f t="shared" si="3"/>
        <v>77.916666666666671</v>
      </c>
      <c r="AG21" s="20">
        <f t="shared" si="4"/>
        <v>84.479166666666671</v>
      </c>
      <c r="AH21" s="12">
        <v>135</v>
      </c>
      <c r="AI21" s="12">
        <v>80.833333333333329</v>
      </c>
      <c r="AJ21" s="12">
        <v>37.5</v>
      </c>
      <c r="AK21" s="12">
        <v>5.93</v>
      </c>
      <c r="AL21" s="12">
        <v>4.9050000000000002</v>
      </c>
      <c r="AM21" s="12">
        <v>3.8583333333333329</v>
      </c>
      <c r="AN21" s="12">
        <v>6.7683333333333335</v>
      </c>
      <c r="AO21" s="12">
        <v>6.1499999999999995</v>
      </c>
      <c r="AP21" s="12">
        <v>4.6983333333333333</v>
      </c>
      <c r="AQ21" s="12">
        <v>15.885</v>
      </c>
      <c r="AR21" s="12">
        <v>29.38</v>
      </c>
      <c r="AS21" s="12">
        <v>6.375</v>
      </c>
      <c r="AT21" s="20">
        <v>0.97</v>
      </c>
      <c r="AU21" s="12">
        <f t="shared" si="5"/>
        <v>1.6546875000000001</v>
      </c>
      <c r="AV21" s="12">
        <f t="shared" si="5"/>
        <v>3.0604166666666668</v>
      </c>
      <c r="AW21" s="12">
        <f t="shared" si="5"/>
        <v>0.6640625</v>
      </c>
      <c r="AX21" s="12">
        <f t="shared" si="5"/>
        <v>0.10104166666666667</v>
      </c>
      <c r="AY21" s="20">
        <f t="shared" si="6"/>
        <v>5.3791666666666664</v>
      </c>
      <c r="AZ21" s="20">
        <f t="shared" si="7"/>
        <v>5.4802083333333327</v>
      </c>
      <c r="BA21" s="12">
        <v>3.45</v>
      </c>
      <c r="BB21" s="20">
        <f t="shared" si="0"/>
        <v>140.625</v>
      </c>
      <c r="BC21" s="20">
        <f t="shared" si="0"/>
        <v>442.70833333333337</v>
      </c>
      <c r="BD21" s="20">
        <f t="shared" si="0"/>
        <v>195.83333333333337</v>
      </c>
      <c r="BE21" s="20">
        <f t="shared" si="0"/>
        <v>65.625</v>
      </c>
      <c r="BF21" s="20">
        <f t="shared" si="0"/>
        <v>779.16666666666674</v>
      </c>
      <c r="BG21" s="20">
        <f t="shared" si="0"/>
        <v>844.79166666666674</v>
      </c>
      <c r="BH21" s="20">
        <f t="shared" si="8"/>
        <v>16.546875</v>
      </c>
      <c r="BI21" s="20">
        <f t="shared" si="8"/>
        <v>30.604166666666668</v>
      </c>
      <c r="BJ21" s="20">
        <f t="shared" si="8"/>
        <v>6.640625</v>
      </c>
      <c r="BK21" s="20">
        <f t="shared" si="8"/>
        <v>1.0104166666666667</v>
      </c>
      <c r="BL21" s="20">
        <f t="shared" si="8"/>
        <v>53.791666666666664</v>
      </c>
      <c r="BM21" s="20">
        <f t="shared" si="8"/>
        <v>54.802083333333329</v>
      </c>
    </row>
    <row r="22" spans="1:65" x14ac:dyDescent="0.45">
      <c r="A22" s="11" t="s">
        <v>42</v>
      </c>
      <c r="B22" s="11" t="s">
        <v>38</v>
      </c>
      <c r="C22" s="11">
        <v>3</v>
      </c>
      <c r="D22" s="12">
        <v>0.71250000000000002</v>
      </c>
      <c r="E22" s="12">
        <v>0.73250000000000004</v>
      </c>
      <c r="F22" s="12">
        <v>0.78249999999999997</v>
      </c>
      <c r="G22" s="12">
        <v>0.81249999999999989</v>
      </c>
      <c r="H22" s="12">
        <v>0.84000000000000008</v>
      </c>
      <c r="I22" s="12">
        <v>0.94000000000000006</v>
      </c>
      <c r="J22" s="12">
        <v>1.03</v>
      </c>
      <c r="K22" s="12">
        <v>1.1200000000000001</v>
      </c>
      <c r="L22" s="12">
        <v>1.2250000000000001</v>
      </c>
      <c r="M22" s="12">
        <v>1.4249999999999998</v>
      </c>
      <c r="N22" s="12">
        <v>1.6</v>
      </c>
      <c r="O22" s="12">
        <v>1.6500000000000001</v>
      </c>
      <c r="P22" s="12">
        <v>1.6900000000000002</v>
      </c>
      <c r="Q22" s="12">
        <v>1.4249999999999998</v>
      </c>
      <c r="R22" s="12">
        <v>1.5499999999999998</v>
      </c>
      <c r="S22" s="12">
        <v>1.6500000000000001</v>
      </c>
      <c r="T22" s="12">
        <v>21.5</v>
      </c>
      <c r="U22" s="12">
        <v>28.5</v>
      </c>
      <c r="V22" s="12">
        <v>32.5</v>
      </c>
      <c r="W22" s="12">
        <v>12.666666666666668</v>
      </c>
      <c r="X22" s="12">
        <v>71</v>
      </c>
      <c r="Y22" s="12">
        <v>279</v>
      </c>
      <c r="Z22" s="12">
        <v>182</v>
      </c>
      <c r="AA22" s="12">
        <v>49</v>
      </c>
      <c r="AB22" s="12">
        <f t="shared" si="2"/>
        <v>7.3958333333333339</v>
      </c>
      <c r="AC22" s="12">
        <f t="shared" si="2"/>
        <v>29.0625</v>
      </c>
      <c r="AD22" s="12">
        <f t="shared" si="2"/>
        <v>18.958333333333336</v>
      </c>
      <c r="AE22" s="12">
        <f t="shared" si="2"/>
        <v>5.104166666666667</v>
      </c>
      <c r="AF22" s="20">
        <f t="shared" si="3"/>
        <v>55.416666666666671</v>
      </c>
      <c r="AG22" s="20">
        <f t="shared" si="4"/>
        <v>60.520833333333336</v>
      </c>
      <c r="AH22" s="12">
        <v>125.83333333333333</v>
      </c>
      <c r="AI22" s="12">
        <v>85</v>
      </c>
      <c r="AJ22" s="12">
        <v>35.833333333333336</v>
      </c>
      <c r="AK22" s="12">
        <v>5.7983333333333329</v>
      </c>
      <c r="AL22" s="12">
        <v>4.9950000000000001</v>
      </c>
      <c r="AM22" s="12">
        <v>3.6466666666666665</v>
      </c>
      <c r="AN22" s="12">
        <v>6.84</v>
      </c>
      <c r="AO22" s="12">
        <v>6.1116666666666672</v>
      </c>
      <c r="AP22" s="12">
        <v>4.5550000000000006</v>
      </c>
      <c r="AQ22" s="12">
        <v>8.1</v>
      </c>
      <c r="AR22" s="12">
        <v>25.160000000000004</v>
      </c>
      <c r="AS22" s="12">
        <v>8.6000000000000014</v>
      </c>
      <c r="AT22" s="20">
        <v>0.58499999999999996</v>
      </c>
      <c r="AU22" s="12">
        <f t="shared" si="5"/>
        <v>0.84375</v>
      </c>
      <c r="AV22" s="12">
        <f t="shared" si="5"/>
        <v>2.620833333333334</v>
      </c>
      <c r="AW22" s="12">
        <f t="shared" si="5"/>
        <v>0.89583333333333348</v>
      </c>
      <c r="AX22" s="12">
        <f t="shared" si="5"/>
        <v>6.0937499999999999E-2</v>
      </c>
      <c r="AY22" s="20">
        <f t="shared" si="6"/>
        <v>4.3604166666666675</v>
      </c>
      <c r="AZ22" s="20">
        <f t="shared" si="7"/>
        <v>4.4213541666666671</v>
      </c>
      <c r="BA22" s="12">
        <v>3.6</v>
      </c>
      <c r="BB22" s="20">
        <f t="shared" si="0"/>
        <v>73.958333333333343</v>
      </c>
      <c r="BC22" s="20">
        <f t="shared" si="0"/>
        <v>290.625</v>
      </c>
      <c r="BD22" s="20">
        <f t="shared" si="0"/>
        <v>189.58333333333337</v>
      </c>
      <c r="BE22" s="20">
        <f t="shared" si="0"/>
        <v>51.041666666666671</v>
      </c>
      <c r="BF22" s="20">
        <f t="shared" si="0"/>
        <v>554.16666666666674</v>
      </c>
      <c r="BG22" s="20">
        <f t="shared" si="0"/>
        <v>605.20833333333337</v>
      </c>
      <c r="BH22" s="20">
        <f t="shared" si="8"/>
        <v>8.4375</v>
      </c>
      <c r="BI22" s="20">
        <f t="shared" si="8"/>
        <v>26.208333333333339</v>
      </c>
      <c r="BJ22" s="20">
        <f t="shared" si="8"/>
        <v>8.9583333333333357</v>
      </c>
      <c r="BK22" s="20">
        <f t="shared" si="8"/>
        <v>0.609375</v>
      </c>
      <c r="BL22" s="20">
        <f t="shared" si="8"/>
        <v>43.604166666666671</v>
      </c>
      <c r="BM22" s="20">
        <f t="shared" si="8"/>
        <v>44.213541666666671</v>
      </c>
    </row>
    <row r="23" spans="1:65" x14ac:dyDescent="0.45">
      <c r="A23" s="11" t="s">
        <v>42</v>
      </c>
      <c r="B23" s="11" t="s">
        <v>38</v>
      </c>
      <c r="C23" s="11">
        <v>4</v>
      </c>
      <c r="D23" s="12">
        <v>0.85750000000000004</v>
      </c>
      <c r="E23" s="12">
        <v>0.88500000000000001</v>
      </c>
      <c r="F23" s="12">
        <v>0.92500000000000004</v>
      </c>
      <c r="G23" s="12">
        <v>0.97</v>
      </c>
      <c r="H23" s="12">
        <v>1.0350000000000001</v>
      </c>
      <c r="I23" s="12">
        <v>1.1350000000000002</v>
      </c>
      <c r="J23" s="12">
        <v>1.29</v>
      </c>
      <c r="K23" s="12">
        <v>1.3800000000000001</v>
      </c>
      <c r="L23" s="12">
        <v>1.175</v>
      </c>
      <c r="M23" s="12">
        <v>1.2749999999999999</v>
      </c>
      <c r="N23" s="12">
        <v>1.4</v>
      </c>
      <c r="O23" s="12">
        <v>1.45</v>
      </c>
      <c r="P23" s="12">
        <v>1.49</v>
      </c>
      <c r="Q23" s="12">
        <v>1.4750000000000001</v>
      </c>
      <c r="R23" s="12">
        <v>1.5750000000000002</v>
      </c>
      <c r="S23" s="12">
        <v>1.65</v>
      </c>
      <c r="T23" s="12">
        <v>23.25</v>
      </c>
      <c r="U23" s="12">
        <v>23.25</v>
      </c>
      <c r="V23" s="12">
        <v>32.25</v>
      </c>
      <c r="W23" s="12">
        <v>16.476190476190474</v>
      </c>
      <c r="X23" s="12">
        <v>128</v>
      </c>
      <c r="Y23" s="12">
        <v>388</v>
      </c>
      <c r="Z23" s="12">
        <v>176</v>
      </c>
      <c r="AA23" s="12">
        <v>46</v>
      </c>
      <c r="AB23" s="12">
        <f t="shared" si="2"/>
        <v>13.333333333333334</v>
      </c>
      <c r="AC23" s="12">
        <f t="shared" si="2"/>
        <v>40.416666666666671</v>
      </c>
      <c r="AD23" s="12">
        <f t="shared" si="2"/>
        <v>18.333333333333336</v>
      </c>
      <c r="AE23" s="12">
        <f t="shared" si="2"/>
        <v>4.791666666666667</v>
      </c>
      <c r="AF23" s="20">
        <f t="shared" si="3"/>
        <v>72.083333333333343</v>
      </c>
      <c r="AG23" s="20">
        <f t="shared" si="4"/>
        <v>76.875000000000014</v>
      </c>
      <c r="AH23" s="12">
        <v>124.16666666666667</v>
      </c>
      <c r="AI23" s="12">
        <v>68.333333333333329</v>
      </c>
      <c r="AJ23" s="12">
        <v>27.5</v>
      </c>
      <c r="AK23" s="12">
        <v>5.6166666666666671</v>
      </c>
      <c r="AL23" s="12">
        <v>4.4716666666666667</v>
      </c>
      <c r="AM23" s="12">
        <v>3.0283333333333338</v>
      </c>
      <c r="AN23" s="12">
        <v>6.8933333333333335</v>
      </c>
      <c r="AO23" s="12">
        <v>5.7033333333333331</v>
      </c>
      <c r="AP23" s="12">
        <v>3.5416666666666665</v>
      </c>
      <c r="AQ23" s="12">
        <v>16.200000000000003</v>
      </c>
      <c r="AR23" s="12">
        <v>26.63</v>
      </c>
      <c r="AS23" s="12">
        <v>5.7100000000000009</v>
      </c>
      <c r="AT23" s="20">
        <v>0.88500000000000012</v>
      </c>
      <c r="AU23" s="12">
        <f t="shared" si="5"/>
        <v>1.6875000000000004</v>
      </c>
      <c r="AV23" s="12">
        <f t="shared" si="5"/>
        <v>2.7739583333333333</v>
      </c>
      <c r="AW23" s="12">
        <f t="shared" si="5"/>
        <v>0.59479166666666683</v>
      </c>
      <c r="AX23" s="12">
        <f t="shared" si="5"/>
        <v>9.2187500000000019E-2</v>
      </c>
      <c r="AY23" s="20">
        <f t="shared" si="6"/>
        <v>5.0562500000000004</v>
      </c>
      <c r="AZ23" s="20">
        <f t="shared" si="7"/>
        <v>5.1484375</v>
      </c>
      <c r="BA23" s="12">
        <v>3.65</v>
      </c>
      <c r="BB23" s="20">
        <f t="shared" si="0"/>
        <v>133.33333333333334</v>
      </c>
      <c r="BC23" s="20">
        <f t="shared" si="0"/>
        <v>404.16666666666674</v>
      </c>
      <c r="BD23" s="20">
        <f t="shared" si="0"/>
        <v>183.33333333333337</v>
      </c>
      <c r="BE23" s="20">
        <f t="shared" si="0"/>
        <v>47.916666666666671</v>
      </c>
      <c r="BF23" s="20">
        <f t="shared" si="0"/>
        <v>720.83333333333348</v>
      </c>
      <c r="BG23" s="20">
        <f t="shared" si="0"/>
        <v>768.75000000000011</v>
      </c>
      <c r="BH23" s="20">
        <f t="shared" si="8"/>
        <v>16.875000000000004</v>
      </c>
      <c r="BI23" s="20">
        <f t="shared" si="8"/>
        <v>27.739583333333332</v>
      </c>
      <c r="BJ23" s="20">
        <f t="shared" si="8"/>
        <v>5.9479166666666679</v>
      </c>
      <c r="BK23" s="20">
        <f t="shared" si="8"/>
        <v>0.92187500000000022</v>
      </c>
      <c r="BL23" s="20">
        <f t="shared" si="8"/>
        <v>50.5625</v>
      </c>
      <c r="BM23" s="20">
        <f t="shared" si="8"/>
        <v>51.484375</v>
      </c>
    </row>
    <row r="24" spans="1:65" x14ac:dyDescent="0.45">
      <c r="A24" s="11" t="s">
        <v>42</v>
      </c>
      <c r="B24" s="11" t="s">
        <v>39</v>
      </c>
      <c r="C24" s="11">
        <v>1</v>
      </c>
      <c r="D24" s="12">
        <v>0.8125</v>
      </c>
      <c r="E24" s="12">
        <v>0.84</v>
      </c>
      <c r="F24" s="12">
        <v>0.86750000000000005</v>
      </c>
      <c r="G24" s="12">
        <v>0.91499999999999992</v>
      </c>
      <c r="H24" s="12">
        <v>0.97499999999999998</v>
      </c>
      <c r="I24" s="12">
        <v>1.075</v>
      </c>
      <c r="J24" s="12">
        <v>1.21</v>
      </c>
      <c r="K24" s="12">
        <v>1.3</v>
      </c>
      <c r="L24" s="12">
        <v>1.1500000000000001</v>
      </c>
      <c r="M24" s="12">
        <v>1.2</v>
      </c>
      <c r="N24" s="12">
        <v>1.3499999999999999</v>
      </c>
      <c r="O24" s="12">
        <v>1.4</v>
      </c>
      <c r="P24" s="12">
        <v>1.44</v>
      </c>
      <c r="Q24" s="12">
        <v>1.55</v>
      </c>
      <c r="R24" s="12">
        <v>1.5750000000000002</v>
      </c>
      <c r="S24" s="12">
        <v>1.65</v>
      </c>
      <c r="T24" s="12">
        <v>25</v>
      </c>
      <c r="U24" s="12">
        <v>35</v>
      </c>
      <c r="V24" s="12">
        <v>31.25</v>
      </c>
      <c r="W24" s="12">
        <v>17</v>
      </c>
      <c r="X24" s="12">
        <v>150</v>
      </c>
      <c r="Y24" s="12">
        <v>401</v>
      </c>
      <c r="Z24" s="12">
        <v>163</v>
      </c>
      <c r="AA24" s="12">
        <v>42</v>
      </c>
      <c r="AB24" s="12">
        <f t="shared" si="2"/>
        <v>15.625</v>
      </c>
      <c r="AC24" s="12">
        <f t="shared" si="2"/>
        <v>41.770833333333336</v>
      </c>
      <c r="AD24" s="12">
        <f t="shared" si="2"/>
        <v>16.979166666666668</v>
      </c>
      <c r="AE24" s="12">
        <f t="shared" si="2"/>
        <v>4.375</v>
      </c>
      <c r="AF24" s="20">
        <f t="shared" si="3"/>
        <v>74.375</v>
      </c>
      <c r="AG24" s="20">
        <f t="shared" si="4"/>
        <v>78.75</v>
      </c>
      <c r="AH24" s="12">
        <v>140.83333333333334</v>
      </c>
      <c r="AI24" s="12">
        <v>85</v>
      </c>
      <c r="AJ24" s="12">
        <v>40</v>
      </c>
      <c r="AK24" s="12">
        <v>5.6016666666666666</v>
      </c>
      <c r="AL24" s="12">
        <v>4.6849999999999996</v>
      </c>
      <c r="AM24" s="12">
        <v>3.6750000000000007</v>
      </c>
      <c r="AN24" s="12">
        <v>7.423333333333332</v>
      </c>
      <c r="AO24" s="12">
        <v>6.6649999999999991</v>
      </c>
      <c r="AP24" s="12">
        <v>4.83</v>
      </c>
      <c r="AQ24" s="12">
        <v>17.91</v>
      </c>
      <c r="AR24" s="12">
        <v>28.654999999999998</v>
      </c>
      <c r="AS24" s="12">
        <v>5.65</v>
      </c>
      <c r="AT24" s="20">
        <v>0.66</v>
      </c>
      <c r="AU24" s="12">
        <f t="shared" si="5"/>
        <v>1.8656250000000001</v>
      </c>
      <c r="AV24" s="12">
        <f t="shared" si="5"/>
        <v>2.9848958333333333</v>
      </c>
      <c r="AW24" s="12">
        <f t="shared" si="5"/>
        <v>0.58854166666666674</v>
      </c>
      <c r="AX24" s="12">
        <f t="shared" si="5"/>
        <v>6.8750000000000006E-2</v>
      </c>
      <c r="AY24" s="20">
        <f t="shared" si="6"/>
        <v>5.4390625000000004</v>
      </c>
      <c r="AZ24" s="20">
        <f t="shared" si="7"/>
        <v>5.5078125</v>
      </c>
      <c r="BA24" s="12">
        <v>3.46</v>
      </c>
      <c r="BB24" s="20">
        <f t="shared" si="0"/>
        <v>156.25</v>
      </c>
      <c r="BC24" s="20">
        <f t="shared" si="0"/>
        <v>417.70833333333337</v>
      </c>
      <c r="BD24" s="20">
        <f t="shared" si="0"/>
        <v>169.79166666666669</v>
      </c>
      <c r="BE24" s="20">
        <f t="shared" si="0"/>
        <v>43.75</v>
      </c>
      <c r="BF24" s="20">
        <f t="shared" si="0"/>
        <v>743.75</v>
      </c>
      <c r="BG24" s="20">
        <f t="shared" si="0"/>
        <v>787.5</v>
      </c>
      <c r="BH24" s="20">
        <f t="shared" si="8"/>
        <v>18.65625</v>
      </c>
      <c r="BI24" s="20">
        <f t="shared" si="8"/>
        <v>29.848958333333332</v>
      </c>
      <c r="BJ24" s="20">
        <f t="shared" si="8"/>
        <v>5.8854166666666679</v>
      </c>
      <c r="BK24" s="20">
        <f t="shared" si="8"/>
        <v>0.6875</v>
      </c>
      <c r="BL24" s="20">
        <f t="shared" si="8"/>
        <v>54.390625</v>
      </c>
      <c r="BM24" s="20">
        <f t="shared" si="8"/>
        <v>55.078125</v>
      </c>
    </row>
    <row r="25" spans="1:65" x14ac:dyDescent="0.45">
      <c r="A25" s="11" t="s">
        <v>42</v>
      </c>
      <c r="B25" s="11" t="s">
        <v>39</v>
      </c>
      <c r="C25" s="11">
        <v>2</v>
      </c>
      <c r="D25" s="12">
        <v>0.97250000000000003</v>
      </c>
      <c r="E25" s="12">
        <v>1.0175000000000001</v>
      </c>
      <c r="F25" s="12">
        <v>1.0649999999999999</v>
      </c>
      <c r="G25" s="12">
        <v>1.0825</v>
      </c>
      <c r="H25" s="12">
        <v>1.135</v>
      </c>
      <c r="I25" s="12">
        <v>1.2350000000000001</v>
      </c>
      <c r="J25" s="12">
        <v>1.4233333333333333</v>
      </c>
      <c r="K25" s="12">
        <v>1.5133333333333334</v>
      </c>
      <c r="L25" s="12">
        <v>1.05</v>
      </c>
      <c r="M25" s="12">
        <v>1.05</v>
      </c>
      <c r="N25" s="12">
        <v>1.125</v>
      </c>
      <c r="O25" s="12">
        <v>1.175</v>
      </c>
      <c r="P25" s="12">
        <v>1.2150000000000001</v>
      </c>
      <c r="Q25" s="12">
        <v>1.5499999999999998</v>
      </c>
      <c r="R25" s="12">
        <v>1.5750000000000002</v>
      </c>
      <c r="S25" s="12">
        <v>1.625</v>
      </c>
      <c r="T25" s="12">
        <v>23</v>
      </c>
      <c r="U25" s="12">
        <v>27</v>
      </c>
      <c r="V25" s="12">
        <v>31.25</v>
      </c>
      <c r="W25" s="12">
        <v>19.428571428571427</v>
      </c>
      <c r="X25" s="12">
        <v>156</v>
      </c>
      <c r="Y25" s="12">
        <v>463</v>
      </c>
      <c r="Z25" s="12">
        <v>197</v>
      </c>
      <c r="AA25" s="12">
        <v>56</v>
      </c>
      <c r="AB25" s="12">
        <f t="shared" si="2"/>
        <v>16.25</v>
      </c>
      <c r="AC25" s="12">
        <f t="shared" si="2"/>
        <v>48.229166666666671</v>
      </c>
      <c r="AD25" s="12">
        <f t="shared" si="2"/>
        <v>20.520833333333336</v>
      </c>
      <c r="AE25" s="12">
        <f t="shared" si="2"/>
        <v>5.8333333333333339</v>
      </c>
      <c r="AF25" s="20">
        <f t="shared" si="3"/>
        <v>85</v>
      </c>
      <c r="AG25" s="20">
        <f t="shared" si="4"/>
        <v>90.833333333333329</v>
      </c>
      <c r="AH25" s="12">
        <v>118.33333333333333</v>
      </c>
      <c r="AI25" s="12">
        <v>84.166666666666671</v>
      </c>
      <c r="AJ25" s="12">
        <v>44.166666666666664</v>
      </c>
      <c r="AK25" s="12">
        <v>4.623333333333334</v>
      </c>
      <c r="AL25" s="12">
        <v>4.6966666666666663</v>
      </c>
      <c r="AM25" s="12">
        <v>3.7550000000000003</v>
      </c>
      <c r="AN25" s="12">
        <v>6.3683333333333332</v>
      </c>
      <c r="AO25" s="12">
        <v>6.47</v>
      </c>
      <c r="AP25" s="12">
        <v>5.3016666666666667</v>
      </c>
      <c r="AQ25" s="12">
        <v>21</v>
      </c>
      <c r="AR25" s="12">
        <v>32.919999999999995</v>
      </c>
      <c r="AS25" s="12">
        <v>6.67</v>
      </c>
      <c r="AT25" s="20">
        <v>1.0649999999999999</v>
      </c>
      <c r="AU25" s="12">
        <f t="shared" si="5"/>
        <v>2.1875</v>
      </c>
      <c r="AV25" s="12">
        <f t="shared" si="5"/>
        <v>3.4291666666666663</v>
      </c>
      <c r="AW25" s="12">
        <f t="shared" si="5"/>
        <v>0.6947916666666667</v>
      </c>
      <c r="AX25" s="12">
        <f t="shared" si="5"/>
        <v>0.11093749999999999</v>
      </c>
      <c r="AY25" s="20">
        <f t="shared" si="6"/>
        <v>6.3114583333333325</v>
      </c>
      <c r="AZ25" s="20">
        <f t="shared" si="7"/>
        <v>6.4223958333333329</v>
      </c>
      <c r="BA25" s="12">
        <v>4.2</v>
      </c>
      <c r="BB25" s="20">
        <f t="shared" si="0"/>
        <v>162.5</v>
      </c>
      <c r="BC25" s="20">
        <f t="shared" si="0"/>
        <v>482.29166666666674</v>
      </c>
      <c r="BD25" s="20">
        <f t="shared" si="0"/>
        <v>205.20833333333337</v>
      </c>
      <c r="BE25" s="20">
        <f t="shared" si="0"/>
        <v>58.333333333333343</v>
      </c>
      <c r="BF25" s="20">
        <f t="shared" si="0"/>
        <v>850</v>
      </c>
      <c r="BG25" s="20">
        <f t="shared" si="0"/>
        <v>908.33333333333326</v>
      </c>
      <c r="BH25" s="20">
        <f t="shared" si="8"/>
        <v>21.875</v>
      </c>
      <c r="BI25" s="20">
        <f t="shared" si="8"/>
        <v>34.291666666666664</v>
      </c>
      <c r="BJ25" s="20">
        <f t="shared" si="8"/>
        <v>6.947916666666667</v>
      </c>
      <c r="BK25" s="20">
        <f t="shared" si="8"/>
        <v>1.109375</v>
      </c>
      <c r="BL25" s="20">
        <f t="shared" si="8"/>
        <v>63.114583333333329</v>
      </c>
      <c r="BM25" s="20">
        <f t="shared" si="8"/>
        <v>64.223958333333329</v>
      </c>
    </row>
    <row r="26" spans="1:65" x14ac:dyDescent="0.45">
      <c r="A26" s="11" t="s">
        <v>42</v>
      </c>
      <c r="B26" s="11" t="s">
        <v>39</v>
      </c>
      <c r="C26" s="11">
        <v>3</v>
      </c>
      <c r="D26" s="12">
        <v>0.89</v>
      </c>
      <c r="E26" s="12">
        <v>0.92749999999999999</v>
      </c>
      <c r="F26" s="12">
        <v>0.94750000000000001</v>
      </c>
      <c r="G26" s="12">
        <v>1.0049999999999999</v>
      </c>
      <c r="H26" s="12">
        <v>1.0649999999999999</v>
      </c>
      <c r="I26" s="12">
        <v>1.165</v>
      </c>
      <c r="J26" s="12">
        <v>1.3299999999999998</v>
      </c>
      <c r="K26" s="12">
        <v>1.42</v>
      </c>
      <c r="L26" s="12">
        <v>1.125</v>
      </c>
      <c r="M26" s="12">
        <v>1.175</v>
      </c>
      <c r="N26" s="12">
        <v>1.3250000000000002</v>
      </c>
      <c r="O26" s="12">
        <v>1.3750000000000002</v>
      </c>
      <c r="P26" s="12">
        <v>1.4150000000000003</v>
      </c>
      <c r="Q26" s="12">
        <v>1.5750000000000002</v>
      </c>
      <c r="R26" s="12">
        <v>1.6</v>
      </c>
      <c r="S26" s="12">
        <v>1.625</v>
      </c>
      <c r="T26" s="12">
        <v>19.75</v>
      </c>
      <c r="U26" s="12">
        <v>39.75</v>
      </c>
      <c r="V26" s="12">
        <v>32.25</v>
      </c>
      <c r="W26" s="12">
        <v>19.404761904761905</v>
      </c>
      <c r="X26" s="12">
        <v>175</v>
      </c>
      <c r="Y26" s="12">
        <v>452</v>
      </c>
      <c r="Z26" s="12">
        <v>188</v>
      </c>
      <c r="AA26" s="12">
        <v>55</v>
      </c>
      <c r="AB26" s="12">
        <f t="shared" si="2"/>
        <v>18.229166666666668</v>
      </c>
      <c r="AC26" s="12">
        <f t="shared" si="2"/>
        <v>47.083333333333336</v>
      </c>
      <c r="AD26" s="12">
        <f t="shared" si="2"/>
        <v>19.583333333333336</v>
      </c>
      <c r="AE26" s="12">
        <f t="shared" si="2"/>
        <v>5.729166666666667</v>
      </c>
      <c r="AF26" s="20">
        <f t="shared" si="3"/>
        <v>84.895833333333343</v>
      </c>
      <c r="AG26" s="20">
        <f t="shared" si="4"/>
        <v>90.625000000000014</v>
      </c>
      <c r="AH26" s="12">
        <v>118.33333333333333</v>
      </c>
      <c r="AI26" s="12">
        <v>83.333333333333329</v>
      </c>
      <c r="AJ26" s="12">
        <v>35.833333333333336</v>
      </c>
      <c r="AK26" s="12">
        <v>5.333333333333333</v>
      </c>
      <c r="AL26" s="12">
        <v>4.708333333333333</v>
      </c>
      <c r="AM26" s="12">
        <v>3.4133333333333336</v>
      </c>
      <c r="AN26" s="12">
        <v>7.2783333333333333</v>
      </c>
      <c r="AO26" s="12">
        <v>5.8416666666666659</v>
      </c>
      <c r="AP26" s="12">
        <v>4.9083333333333332</v>
      </c>
      <c r="AQ26" s="12">
        <v>20.68</v>
      </c>
      <c r="AR26" s="12">
        <v>32.114999999999995</v>
      </c>
      <c r="AS26" s="12">
        <v>5.77</v>
      </c>
      <c r="AT26" s="20">
        <v>0.69500000000000006</v>
      </c>
      <c r="AU26" s="12">
        <f t="shared" si="5"/>
        <v>2.1541666666666668</v>
      </c>
      <c r="AV26" s="12">
        <f t="shared" si="5"/>
        <v>3.3453124999999995</v>
      </c>
      <c r="AW26" s="12">
        <f t="shared" si="5"/>
        <v>0.6010416666666667</v>
      </c>
      <c r="AX26" s="12">
        <f t="shared" si="5"/>
        <v>7.239583333333334E-2</v>
      </c>
      <c r="AY26" s="20">
        <f t="shared" si="6"/>
        <v>6.1005208333333325</v>
      </c>
      <c r="AZ26" s="20">
        <f t="shared" si="7"/>
        <v>6.1729166666666657</v>
      </c>
      <c r="BA26" s="12">
        <v>4.5</v>
      </c>
      <c r="BB26" s="20">
        <f t="shared" si="0"/>
        <v>182.29166666666669</v>
      </c>
      <c r="BC26" s="20">
        <f t="shared" si="0"/>
        <v>470.83333333333337</v>
      </c>
      <c r="BD26" s="20">
        <f t="shared" si="0"/>
        <v>195.83333333333337</v>
      </c>
      <c r="BE26" s="20">
        <f t="shared" si="0"/>
        <v>57.291666666666671</v>
      </c>
      <c r="BF26" s="20">
        <f t="shared" si="0"/>
        <v>848.95833333333348</v>
      </c>
      <c r="BG26" s="20">
        <f t="shared" si="0"/>
        <v>906.25000000000011</v>
      </c>
      <c r="BH26" s="20">
        <f t="shared" si="8"/>
        <v>21.541666666666668</v>
      </c>
      <c r="BI26" s="20">
        <f t="shared" si="8"/>
        <v>33.453124999999993</v>
      </c>
      <c r="BJ26" s="20">
        <f t="shared" si="8"/>
        <v>6.010416666666667</v>
      </c>
      <c r="BK26" s="20">
        <f t="shared" si="8"/>
        <v>0.72395833333333337</v>
      </c>
      <c r="BL26" s="20">
        <f t="shared" si="8"/>
        <v>61.005208333333329</v>
      </c>
      <c r="BM26" s="20">
        <f t="shared" si="8"/>
        <v>61.729166666666657</v>
      </c>
    </row>
    <row r="27" spans="1:65" x14ac:dyDescent="0.45">
      <c r="A27" s="11" t="s">
        <v>42</v>
      </c>
      <c r="B27" s="11" t="s">
        <v>39</v>
      </c>
      <c r="C27" s="11">
        <v>4</v>
      </c>
      <c r="D27" s="12">
        <v>0.82250000000000001</v>
      </c>
      <c r="E27" s="12">
        <v>0.86</v>
      </c>
      <c r="F27" s="12">
        <v>0.89500000000000002</v>
      </c>
      <c r="G27" s="12">
        <v>0.92500000000000004</v>
      </c>
      <c r="H27" s="12">
        <v>1.0125</v>
      </c>
      <c r="I27" s="12">
        <v>1.1125</v>
      </c>
      <c r="J27" s="12">
        <v>1.2599999999999998</v>
      </c>
      <c r="K27" s="12">
        <v>1.3499999999999999</v>
      </c>
      <c r="L27" s="12">
        <v>1.1749999999999998</v>
      </c>
      <c r="M27" s="12">
        <v>1.25</v>
      </c>
      <c r="N27" s="12">
        <v>1.4750000000000001</v>
      </c>
      <c r="O27" s="12">
        <v>1.5250000000000001</v>
      </c>
      <c r="P27" s="12">
        <v>1.5650000000000002</v>
      </c>
      <c r="Q27" s="12">
        <v>1.5499999999999998</v>
      </c>
      <c r="R27" s="12">
        <v>1.65</v>
      </c>
      <c r="S27" s="12">
        <v>1.7</v>
      </c>
      <c r="T27" s="12">
        <v>22.75</v>
      </c>
      <c r="U27" s="12">
        <v>26.75</v>
      </c>
      <c r="V27" s="12">
        <v>32</v>
      </c>
      <c r="W27" s="12">
        <v>21.38095238095238</v>
      </c>
      <c r="X27" s="12">
        <v>186</v>
      </c>
      <c r="Y27" s="12">
        <v>508</v>
      </c>
      <c r="Z27" s="12">
        <v>204</v>
      </c>
      <c r="AA27" s="12">
        <v>40</v>
      </c>
      <c r="AB27" s="12">
        <f t="shared" si="2"/>
        <v>19.375</v>
      </c>
      <c r="AC27" s="12">
        <f t="shared" si="2"/>
        <v>52.916666666666671</v>
      </c>
      <c r="AD27" s="12">
        <f t="shared" si="2"/>
        <v>21.25</v>
      </c>
      <c r="AE27" s="12">
        <f t="shared" si="2"/>
        <v>4.166666666666667</v>
      </c>
      <c r="AF27" s="20">
        <f t="shared" si="3"/>
        <v>93.541666666666671</v>
      </c>
      <c r="AG27" s="20">
        <f t="shared" si="4"/>
        <v>97.708333333333343</v>
      </c>
      <c r="AH27" s="12">
        <v>138.33333333333334</v>
      </c>
      <c r="AI27" s="12">
        <v>91.666666666666671</v>
      </c>
      <c r="AJ27" s="12">
        <v>42.5</v>
      </c>
      <c r="AK27" s="12">
        <v>5.6950000000000003</v>
      </c>
      <c r="AL27" s="12">
        <v>4.958333333333333</v>
      </c>
      <c r="AM27" s="12">
        <v>3.3283333333333331</v>
      </c>
      <c r="AN27" s="12">
        <v>7.3049999999999997</v>
      </c>
      <c r="AO27" s="12">
        <v>6.291666666666667</v>
      </c>
      <c r="AP27" s="12">
        <v>4.6433333333333335</v>
      </c>
      <c r="AQ27" s="12">
        <v>22.86</v>
      </c>
      <c r="AR27" s="12">
        <v>38.244999999999997</v>
      </c>
      <c r="AS27" s="12">
        <v>6.8149999999999995</v>
      </c>
      <c r="AT27" s="20">
        <v>0.63500000000000001</v>
      </c>
      <c r="AU27" s="12">
        <f t="shared" si="5"/>
        <v>2.3812500000000001</v>
      </c>
      <c r="AV27" s="12">
        <f t="shared" si="5"/>
        <v>3.9838541666666667</v>
      </c>
      <c r="AW27" s="12">
        <f t="shared" si="5"/>
        <v>0.70989583333333328</v>
      </c>
      <c r="AX27" s="12">
        <f t="shared" si="5"/>
        <v>6.6145833333333334E-2</v>
      </c>
      <c r="AY27" s="20">
        <f t="shared" si="6"/>
        <v>7.0750000000000002</v>
      </c>
      <c r="AZ27" s="20">
        <f t="shared" si="7"/>
        <v>7.1411458333333337</v>
      </c>
      <c r="BA27" s="12">
        <v>3.9</v>
      </c>
      <c r="BB27" s="20">
        <f t="shared" si="0"/>
        <v>193.75</v>
      </c>
      <c r="BC27" s="20">
        <f t="shared" si="0"/>
        <v>529.16666666666674</v>
      </c>
      <c r="BD27" s="20">
        <f t="shared" si="0"/>
        <v>212.5</v>
      </c>
      <c r="BE27" s="20">
        <f t="shared" si="0"/>
        <v>41.666666666666671</v>
      </c>
      <c r="BF27" s="20">
        <f t="shared" si="0"/>
        <v>935.41666666666674</v>
      </c>
      <c r="BG27" s="20">
        <f t="shared" si="0"/>
        <v>977.08333333333348</v>
      </c>
      <c r="BH27" s="20">
        <f t="shared" si="8"/>
        <v>23.8125</v>
      </c>
      <c r="BI27" s="20">
        <f t="shared" si="8"/>
        <v>39.838541666666664</v>
      </c>
      <c r="BJ27" s="20">
        <f t="shared" si="8"/>
        <v>7.098958333333333</v>
      </c>
      <c r="BK27" s="20">
        <f t="shared" si="8"/>
        <v>0.66145833333333337</v>
      </c>
      <c r="BL27" s="20">
        <f t="shared" si="8"/>
        <v>70.75</v>
      </c>
      <c r="BM27" s="20">
        <f t="shared" si="8"/>
        <v>71.411458333333343</v>
      </c>
    </row>
    <row r="28" spans="1:65" x14ac:dyDescent="0.45">
      <c r="A28" s="11" t="s">
        <v>42</v>
      </c>
      <c r="B28" s="11" t="s">
        <v>40</v>
      </c>
      <c r="C28" s="11">
        <v>1</v>
      </c>
      <c r="D28" s="12">
        <v>0.77500000000000013</v>
      </c>
      <c r="E28" s="12">
        <v>0.8</v>
      </c>
      <c r="F28" s="12">
        <v>0.82750000000000012</v>
      </c>
      <c r="G28" s="12">
        <v>0.88</v>
      </c>
      <c r="H28" s="12">
        <v>0.93749999999999989</v>
      </c>
      <c r="I28" s="12">
        <v>1.0374999999999999</v>
      </c>
      <c r="J28" s="12">
        <v>1.1599999999999997</v>
      </c>
      <c r="K28" s="12">
        <v>1.2499999999999998</v>
      </c>
      <c r="L28" s="12">
        <v>1.1000000000000001</v>
      </c>
      <c r="M28" s="12">
        <v>1.1000000000000001</v>
      </c>
      <c r="N28" s="12">
        <v>1.2</v>
      </c>
      <c r="O28" s="12">
        <v>1.25</v>
      </c>
      <c r="P28" s="12">
        <v>1.29</v>
      </c>
      <c r="Q28" s="12">
        <v>1.45</v>
      </c>
      <c r="R28" s="12">
        <v>1.5750000000000002</v>
      </c>
      <c r="S28" s="12">
        <v>1.6500000000000001</v>
      </c>
      <c r="T28" s="12">
        <v>27.5</v>
      </c>
      <c r="U28" s="12">
        <v>27.5</v>
      </c>
      <c r="V28" s="12">
        <v>32.75</v>
      </c>
      <c r="W28" s="12">
        <v>18.261904761904763</v>
      </c>
      <c r="X28" s="12">
        <v>174</v>
      </c>
      <c r="Y28" s="12">
        <v>423</v>
      </c>
      <c r="Z28" s="12">
        <v>170</v>
      </c>
      <c r="AA28" s="12">
        <v>68</v>
      </c>
      <c r="AB28" s="12">
        <f t="shared" si="2"/>
        <v>18.125</v>
      </c>
      <c r="AC28" s="12">
        <f t="shared" si="2"/>
        <v>44.0625</v>
      </c>
      <c r="AD28" s="12">
        <f t="shared" si="2"/>
        <v>17.708333333333336</v>
      </c>
      <c r="AE28" s="12">
        <f t="shared" si="2"/>
        <v>7.0833333333333339</v>
      </c>
      <c r="AF28" s="20">
        <f t="shared" si="3"/>
        <v>79.895833333333343</v>
      </c>
      <c r="AG28" s="20">
        <f t="shared" si="4"/>
        <v>86.979166666666671</v>
      </c>
      <c r="AH28" s="12">
        <v>144.16666666666666</v>
      </c>
      <c r="AI28" s="12">
        <v>89.166666666666671</v>
      </c>
      <c r="AJ28" s="12">
        <v>36.666666666666664</v>
      </c>
      <c r="AK28" s="12">
        <v>5.8999999999999995</v>
      </c>
      <c r="AL28" s="12">
        <v>4.7266666666666666</v>
      </c>
      <c r="AM28" s="12">
        <v>3.5649999999999999</v>
      </c>
      <c r="AN28" s="12">
        <v>7.044999999999999</v>
      </c>
      <c r="AO28" s="12">
        <v>6.4033333333333333</v>
      </c>
      <c r="AP28" s="12">
        <v>4.7983333333333329</v>
      </c>
      <c r="AQ28" s="12">
        <v>22.685000000000002</v>
      </c>
      <c r="AR28" s="12">
        <v>30.68</v>
      </c>
      <c r="AS28" s="12">
        <v>5.3350000000000009</v>
      </c>
      <c r="AT28" s="20">
        <v>1.2050000000000001</v>
      </c>
      <c r="AU28" s="12">
        <f t="shared" si="5"/>
        <v>2.3630208333333336</v>
      </c>
      <c r="AV28" s="12">
        <f t="shared" si="5"/>
        <v>3.1958333333333333</v>
      </c>
      <c r="AW28" s="12">
        <f t="shared" si="5"/>
        <v>0.55572916666666683</v>
      </c>
      <c r="AX28" s="12">
        <f t="shared" si="5"/>
        <v>0.12552083333333336</v>
      </c>
      <c r="AY28" s="20">
        <f t="shared" si="6"/>
        <v>6.114583333333333</v>
      </c>
      <c r="AZ28" s="20">
        <f t="shared" si="7"/>
        <v>6.2401041666666668</v>
      </c>
      <c r="BA28" s="12">
        <v>3.5</v>
      </c>
      <c r="BB28" s="20">
        <f t="shared" si="0"/>
        <v>181.25</v>
      </c>
      <c r="BC28" s="20">
        <f t="shared" si="0"/>
        <v>440.625</v>
      </c>
      <c r="BD28" s="20">
        <f t="shared" si="0"/>
        <v>177.08333333333337</v>
      </c>
      <c r="BE28" s="20">
        <f t="shared" si="0"/>
        <v>70.833333333333343</v>
      </c>
      <c r="BF28" s="20">
        <f t="shared" si="0"/>
        <v>798.95833333333348</v>
      </c>
      <c r="BG28" s="20">
        <f t="shared" si="0"/>
        <v>869.79166666666674</v>
      </c>
      <c r="BH28" s="20">
        <f t="shared" si="8"/>
        <v>23.630208333333336</v>
      </c>
      <c r="BI28" s="20">
        <f t="shared" si="8"/>
        <v>31.958333333333332</v>
      </c>
      <c r="BJ28" s="20">
        <f t="shared" si="8"/>
        <v>5.5572916666666679</v>
      </c>
      <c r="BK28" s="20">
        <f t="shared" si="8"/>
        <v>1.2552083333333335</v>
      </c>
      <c r="BL28" s="20">
        <f t="shared" si="8"/>
        <v>61.145833333333329</v>
      </c>
      <c r="BM28" s="20">
        <f t="shared" si="8"/>
        <v>62.401041666666671</v>
      </c>
    </row>
    <row r="29" spans="1:65" x14ac:dyDescent="0.45">
      <c r="A29" s="11" t="s">
        <v>42</v>
      </c>
      <c r="B29" s="11" t="s">
        <v>40</v>
      </c>
      <c r="C29" s="11">
        <v>2</v>
      </c>
      <c r="D29" s="12">
        <v>0.75250000000000006</v>
      </c>
      <c r="E29" s="12">
        <v>0.77249999999999996</v>
      </c>
      <c r="F29" s="12">
        <v>0.79</v>
      </c>
      <c r="G29" s="12">
        <v>0.93499999999999994</v>
      </c>
      <c r="H29" s="12">
        <v>0.99750000000000005</v>
      </c>
      <c r="I29" s="12">
        <v>1.0975000000000001</v>
      </c>
      <c r="J29" s="12">
        <v>1.24</v>
      </c>
      <c r="K29" s="12">
        <v>1.33</v>
      </c>
      <c r="L29" s="12">
        <v>1.1000000000000001</v>
      </c>
      <c r="M29" s="12">
        <v>1.125</v>
      </c>
      <c r="N29" s="12">
        <v>1.175</v>
      </c>
      <c r="O29" s="12">
        <v>1.2250000000000001</v>
      </c>
      <c r="P29" s="12">
        <v>1.2650000000000001</v>
      </c>
      <c r="Q29" s="12">
        <v>5.45</v>
      </c>
      <c r="R29" s="12">
        <v>1.65</v>
      </c>
      <c r="S29" s="12">
        <v>1.65</v>
      </c>
      <c r="T29" s="12">
        <v>20.75</v>
      </c>
      <c r="U29" s="12">
        <v>24.75</v>
      </c>
      <c r="V29" s="12">
        <v>32.25</v>
      </c>
      <c r="W29" s="12">
        <v>19</v>
      </c>
      <c r="X29" s="12">
        <v>169</v>
      </c>
      <c r="Y29" s="12">
        <v>420</v>
      </c>
      <c r="Z29" s="12">
        <v>209</v>
      </c>
      <c r="AA29" s="12">
        <v>74</v>
      </c>
      <c r="AB29" s="12">
        <f t="shared" si="2"/>
        <v>17.604166666666668</v>
      </c>
      <c r="AC29" s="12">
        <f t="shared" si="2"/>
        <v>43.75</v>
      </c>
      <c r="AD29" s="12">
        <f t="shared" si="2"/>
        <v>21.770833333333336</v>
      </c>
      <c r="AE29" s="12">
        <f t="shared" si="2"/>
        <v>7.7083333333333339</v>
      </c>
      <c r="AF29" s="20">
        <f t="shared" si="3"/>
        <v>83.125</v>
      </c>
      <c r="AG29" s="20">
        <f t="shared" si="4"/>
        <v>90.833333333333329</v>
      </c>
      <c r="AH29" s="12">
        <v>140.83333333333334</v>
      </c>
      <c r="AI29" s="12">
        <v>88.333333333333329</v>
      </c>
      <c r="AJ29" s="12">
        <v>37.5</v>
      </c>
      <c r="AK29" s="12">
        <v>5.6983333333333333</v>
      </c>
      <c r="AL29" s="12">
        <v>4.9966666666666661</v>
      </c>
      <c r="AM29" s="12">
        <v>3.7183333333333333</v>
      </c>
      <c r="AN29" s="12">
        <v>7.3283333333333331</v>
      </c>
      <c r="AO29" s="12">
        <v>6.2149999999999999</v>
      </c>
      <c r="AP29" s="12">
        <v>4.8316666666666661</v>
      </c>
      <c r="AQ29" s="12">
        <v>22.364999999999998</v>
      </c>
      <c r="AR29" s="12">
        <v>38.580000000000005</v>
      </c>
      <c r="AS29" s="12">
        <v>6.8500000000000005</v>
      </c>
      <c r="AT29" s="20">
        <v>1.31</v>
      </c>
      <c r="AU29" s="12">
        <f t="shared" si="5"/>
        <v>2.3296874999999999</v>
      </c>
      <c r="AV29" s="12">
        <f t="shared" si="5"/>
        <v>4.0187500000000007</v>
      </c>
      <c r="AW29" s="12">
        <f t="shared" si="5"/>
        <v>0.71354166666666674</v>
      </c>
      <c r="AX29" s="12">
        <f t="shared" si="5"/>
        <v>0.13645833333333335</v>
      </c>
      <c r="AY29" s="20">
        <f t="shared" si="6"/>
        <v>7.061979166666668</v>
      </c>
      <c r="AZ29" s="20">
        <f t="shared" si="7"/>
        <v>7.1984375000000016</v>
      </c>
      <c r="BA29" s="12">
        <v>4</v>
      </c>
      <c r="BB29" s="20">
        <f t="shared" si="0"/>
        <v>176.04166666666669</v>
      </c>
      <c r="BC29" s="20">
        <f t="shared" si="0"/>
        <v>437.5</v>
      </c>
      <c r="BD29" s="20">
        <f t="shared" si="0"/>
        <v>217.70833333333337</v>
      </c>
      <c r="BE29" s="20">
        <f t="shared" si="0"/>
        <v>77.083333333333343</v>
      </c>
      <c r="BF29" s="20">
        <f t="shared" si="0"/>
        <v>831.25</v>
      </c>
      <c r="BG29" s="20">
        <f t="shared" si="0"/>
        <v>908.33333333333326</v>
      </c>
      <c r="BH29" s="20">
        <f t="shared" si="8"/>
        <v>23.296875</v>
      </c>
      <c r="BI29" s="20">
        <f t="shared" si="8"/>
        <v>40.187500000000007</v>
      </c>
      <c r="BJ29" s="20">
        <f t="shared" si="8"/>
        <v>7.1354166666666679</v>
      </c>
      <c r="BK29" s="20">
        <f t="shared" si="8"/>
        <v>1.3645833333333335</v>
      </c>
      <c r="BL29" s="20">
        <f t="shared" si="8"/>
        <v>70.619791666666686</v>
      </c>
      <c r="BM29" s="20">
        <f t="shared" si="8"/>
        <v>71.984375000000014</v>
      </c>
    </row>
    <row r="30" spans="1:65" x14ac:dyDescent="0.45">
      <c r="A30" s="11" t="s">
        <v>42</v>
      </c>
      <c r="B30" s="11" t="s">
        <v>40</v>
      </c>
      <c r="C30" s="11">
        <v>3</v>
      </c>
      <c r="D30" s="12">
        <v>0.78500000000000003</v>
      </c>
      <c r="E30" s="12">
        <v>0.83250000000000002</v>
      </c>
      <c r="F30" s="12">
        <v>0.86</v>
      </c>
      <c r="G30" s="12">
        <v>0.94499999999999995</v>
      </c>
      <c r="H30" s="12">
        <v>1.0349999999999999</v>
      </c>
      <c r="I30" s="12">
        <v>1.135</v>
      </c>
      <c r="J30" s="12">
        <v>1.2899999999999998</v>
      </c>
      <c r="K30" s="12">
        <v>1.38</v>
      </c>
      <c r="L30" s="12">
        <v>1.1000000000000001</v>
      </c>
      <c r="M30" s="12">
        <v>1.125</v>
      </c>
      <c r="N30" s="12">
        <v>1.175</v>
      </c>
      <c r="O30" s="12">
        <v>1.2250000000000001</v>
      </c>
      <c r="P30" s="12">
        <v>1.2650000000000001</v>
      </c>
      <c r="Q30" s="12">
        <v>1.4249999999999998</v>
      </c>
      <c r="R30" s="12">
        <v>1.5</v>
      </c>
      <c r="S30" s="12">
        <v>1.625</v>
      </c>
      <c r="T30" s="12">
        <v>24.5</v>
      </c>
      <c r="U30" s="12">
        <v>24.5</v>
      </c>
      <c r="V30" s="12">
        <v>32.5</v>
      </c>
      <c r="W30" s="12">
        <v>20.190476190476193</v>
      </c>
      <c r="X30" s="12">
        <v>221</v>
      </c>
      <c r="Y30" s="12">
        <v>476</v>
      </c>
      <c r="Z30" s="12">
        <v>151</v>
      </c>
      <c r="AA30" s="12">
        <v>47</v>
      </c>
      <c r="AB30" s="12">
        <f t="shared" si="2"/>
        <v>23.020833333333336</v>
      </c>
      <c r="AC30" s="12">
        <f t="shared" si="2"/>
        <v>49.583333333333336</v>
      </c>
      <c r="AD30" s="12">
        <f t="shared" si="2"/>
        <v>15.729166666666668</v>
      </c>
      <c r="AE30" s="12">
        <f t="shared" si="2"/>
        <v>4.8958333333333339</v>
      </c>
      <c r="AF30" s="20">
        <f t="shared" si="3"/>
        <v>88.333333333333343</v>
      </c>
      <c r="AG30" s="20">
        <f t="shared" si="4"/>
        <v>93.229166666666671</v>
      </c>
      <c r="AH30" s="12">
        <v>159.16666666666666</v>
      </c>
      <c r="AI30" s="12">
        <v>91.666666666666671</v>
      </c>
      <c r="AJ30" s="12">
        <v>30</v>
      </c>
      <c r="AK30" s="12">
        <v>5.7749999999999995</v>
      </c>
      <c r="AL30" s="12">
        <v>4.9216666666666669</v>
      </c>
      <c r="AM30" s="12">
        <v>3.1099999999999994</v>
      </c>
      <c r="AN30" s="12">
        <v>7.998333333333334</v>
      </c>
      <c r="AO30" s="12">
        <v>6.6116666666666672</v>
      </c>
      <c r="AP30" s="12">
        <v>3.8516666666666666</v>
      </c>
      <c r="AQ30" s="12">
        <v>28.69</v>
      </c>
      <c r="AR30" s="12">
        <v>35.385000000000005</v>
      </c>
      <c r="AS30" s="12">
        <v>5.12</v>
      </c>
      <c r="AT30" s="20">
        <v>0.875</v>
      </c>
      <c r="AU30" s="12">
        <f t="shared" si="5"/>
        <v>2.9885416666666669</v>
      </c>
      <c r="AV30" s="12">
        <f t="shared" si="5"/>
        <v>3.6859375000000005</v>
      </c>
      <c r="AW30" s="12">
        <f t="shared" si="5"/>
        <v>0.53333333333333333</v>
      </c>
      <c r="AX30" s="12">
        <f t="shared" si="5"/>
        <v>9.1145833333333343E-2</v>
      </c>
      <c r="AY30" s="20">
        <f t="shared" si="6"/>
        <v>7.2078125000000011</v>
      </c>
      <c r="AZ30" s="20">
        <f t="shared" si="7"/>
        <v>7.2989583333333341</v>
      </c>
      <c r="BA30" s="12">
        <v>3.5</v>
      </c>
      <c r="BB30" s="20">
        <f t="shared" si="0"/>
        <v>230.20833333333337</v>
      </c>
      <c r="BC30" s="20">
        <f t="shared" si="0"/>
        <v>495.83333333333337</v>
      </c>
      <c r="BD30" s="20">
        <f t="shared" si="0"/>
        <v>157.29166666666669</v>
      </c>
      <c r="BE30" s="20">
        <f t="shared" si="0"/>
        <v>48.958333333333343</v>
      </c>
      <c r="BF30" s="20">
        <f t="shared" si="0"/>
        <v>883.33333333333348</v>
      </c>
      <c r="BG30" s="20">
        <f t="shared" si="0"/>
        <v>932.29166666666674</v>
      </c>
      <c r="BH30" s="20">
        <f t="shared" si="8"/>
        <v>29.885416666666668</v>
      </c>
      <c r="BI30" s="20">
        <f t="shared" si="8"/>
        <v>36.859375000000007</v>
      </c>
      <c r="BJ30" s="20">
        <f t="shared" si="8"/>
        <v>5.333333333333333</v>
      </c>
      <c r="BK30" s="20">
        <f t="shared" si="8"/>
        <v>0.91145833333333348</v>
      </c>
      <c r="BL30" s="20">
        <f t="shared" si="8"/>
        <v>72.078125000000014</v>
      </c>
      <c r="BM30" s="20">
        <f t="shared" si="8"/>
        <v>72.989583333333343</v>
      </c>
    </row>
    <row r="31" spans="1:65" x14ac:dyDescent="0.45">
      <c r="A31" s="11" t="s">
        <v>42</v>
      </c>
      <c r="B31" s="11" t="s">
        <v>40</v>
      </c>
      <c r="C31" s="11">
        <v>4</v>
      </c>
      <c r="D31" s="12">
        <v>0.80249999999999999</v>
      </c>
      <c r="E31" s="12">
        <v>0.85000000000000009</v>
      </c>
      <c r="F31" s="12">
        <v>0.88749999999999996</v>
      </c>
      <c r="G31" s="12">
        <v>1.0175000000000001</v>
      </c>
      <c r="H31" s="12">
        <v>1.0775000000000001</v>
      </c>
      <c r="I31" s="12">
        <v>1.1775000000000002</v>
      </c>
      <c r="J31" s="12">
        <v>1.3466666666666667</v>
      </c>
      <c r="K31" s="12">
        <v>1.4366666666666668</v>
      </c>
      <c r="L31" s="12">
        <v>1.2</v>
      </c>
      <c r="M31" s="12">
        <v>1.2749999999999999</v>
      </c>
      <c r="N31" s="12">
        <v>1.4750000000000001</v>
      </c>
      <c r="O31" s="12">
        <v>1.5250000000000001</v>
      </c>
      <c r="P31" s="12">
        <v>1.5650000000000002</v>
      </c>
      <c r="Q31" s="12">
        <v>1.625</v>
      </c>
      <c r="R31" s="12">
        <v>1.675</v>
      </c>
      <c r="S31" s="12">
        <v>1.7249999999999999</v>
      </c>
      <c r="T31" s="12">
        <v>20.75</v>
      </c>
      <c r="U31" s="12">
        <v>20.75</v>
      </c>
      <c r="V31" s="12">
        <v>32.25</v>
      </c>
      <c r="W31" s="12">
        <v>17</v>
      </c>
      <c r="X31" s="12">
        <v>146</v>
      </c>
      <c r="Y31" s="12">
        <v>393</v>
      </c>
      <c r="Z31" s="12">
        <v>175</v>
      </c>
      <c r="AA31" s="12">
        <v>30</v>
      </c>
      <c r="AB31" s="12">
        <f t="shared" si="2"/>
        <v>15.208333333333334</v>
      </c>
      <c r="AC31" s="12">
        <f t="shared" si="2"/>
        <v>40.9375</v>
      </c>
      <c r="AD31" s="12">
        <f t="shared" si="2"/>
        <v>18.229166666666668</v>
      </c>
      <c r="AE31" s="12">
        <f t="shared" si="2"/>
        <v>3.125</v>
      </c>
      <c r="AF31" s="20">
        <f t="shared" si="3"/>
        <v>74.375</v>
      </c>
      <c r="AG31" s="20">
        <f t="shared" si="4"/>
        <v>77.5</v>
      </c>
      <c r="AH31" s="12">
        <v>155</v>
      </c>
      <c r="AI31" s="12">
        <v>88.333333333333329</v>
      </c>
      <c r="AJ31" s="12">
        <v>40</v>
      </c>
      <c r="AK31" s="12">
        <v>5.9649999999999999</v>
      </c>
      <c r="AL31" s="12">
        <v>4.8633333333333333</v>
      </c>
      <c r="AM31" s="12">
        <v>3.7883333333333336</v>
      </c>
      <c r="AN31" s="12">
        <v>7.5650000000000004</v>
      </c>
      <c r="AO31" s="12">
        <v>6.5366666666666653</v>
      </c>
      <c r="AP31" s="12">
        <v>4.8433333333333337</v>
      </c>
      <c r="AQ31" s="12">
        <v>19.39</v>
      </c>
      <c r="AR31" s="12">
        <v>30.16</v>
      </c>
      <c r="AS31" s="12">
        <v>6.5200000000000005</v>
      </c>
      <c r="AT31" s="20">
        <v>0.38500000000000001</v>
      </c>
      <c r="AU31" s="12">
        <f t="shared" si="5"/>
        <v>2.0197916666666669</v>
      </c>
      <c r="AV31" s="12">
        <f t="shared" si="5"/>
        <v>3.1416666666666666</v>
      </c>
      <c r="AW31" s="12">
        <f t="shared" si="5"/>
        <v>0.6791666666666667</v>
      </c>
      <c r="AX31" s="12">
        <f t="shared" si="5"/>
        <v>4.010416666666667E-2</v>
      </c>
      <c r="AY31" s="20">
        <f t="shared" si="6"/>
        <v>5.8406250000000011</v>
      </c>
      <c r="AZ31" s="20">
        <f t="shared" si="7"/>
        <v>5.8807291666666677</v>
      </c>
      <c r="BA31" s="12">
        <v>4.0999999999999996</v>
      </c>
      <c r="BB31" s="20">
        <f t="shared" si="0"/>
        <v>152.08333333333334</v>
      </c>
      <c r="BC31" s="20">
        <f t="shared" si="0"/>
        <v>409.375</v>
      </c>
      <c r="BD31" s="20">
        <f t="shared" si="0"/>
        <v>182.29166666666669</v>
      </c>
      <c r="BE31" s="20">
        <f t="shared" si="0"/>
        <v>31.25</v>
      </c>
      <c r="BF31" s="20">
        <f t="shared" si="0"/>
        <v>743.75</v>
      </c>
      <c r="BG31" s="20">
        <f t="shared" si="0"/>
        <v>775</v>
      </c>
      <c r="BH31" s="20">
        <f t="shared" si="8"/>
        <v>20.197916666666668</v>
      </c>
      <c r="BI31" s="20">
        <f t="shared" si="8"/>
        <v>31.416666666666664</v>
      </c>
      <c r="BJ31" s="20">
        <f t="shared" si="8"/>
        <v>6.791666666666667</v>
      </c>
      <c r="BK31" s="20">
        <f t="shared" si="8"/>
        <v>0.40104166666666669</v>
      </c>
      <c r="BL31" s="20">
        <f t="shared" si="8"/>
        <v>58.406250000000014</v>
      </c>
      <c r="BM31" s="20">
        <f t="shared" si="8"/>
        <v>58.807291666666679</v>
      </c>
    </row>
    <row r="32" spans="1:65" x14ac:dyDescent="0.45">
      <c r="A32" s="11" t="s">
        <v>42</v>
      </c>
      <c r="B32" s="11" t="s">
        <v>41</v>
      </c>
      <c r="C32" s="11">
        <v>1</v>
      </c>
      <c r="D32" s="12">
        <v>1.115</v>
      </c>
      <c r="E32" s="12">
        <v>1.1600000000000001</v>
      </c>
      <c r="F32" s="12">
        <v>1.0874999999999999</v>
      </c>
      <c r="G32" s="12">
        <v>1.1300000000000001</v>
      </c>
      <c r="H32" s="12">
        <v>1.1925000000000001</v>
      </c>
      <c r="I32" s="12">
        <v>1.2925000000000002</v>
      </c>
      <c r="J32" s="12">
        <v>1.5</v>
      </c>
      <c r="K32" s="12">
        <v>1.59</v>
      </c>
      <c r="L32" s="12">
        <v>1.175</v>
      </c>
      <c r="M32" s="12">
        <v>1.25</v>
      </c>
      <c r="N32" s="12">
        <v>1.325</v>
      </c>
      <c r="O32" s="12">
        <v>1.375</v>
      </c>
      <c r="P32" s="12">
        <v>1.415</v>
      </c>
      <c r="Q32" s="12">
        <v>1.65</v>
      </c>
      <c r="R32" s="12">
        <v>1.6749999999999998</v>
      </c>
      <c r="S32" s="12">
        <v>1.7</v>
      </c>
      <c r="T32" s="12">
        <v>19.5</v>
      </c>
      <c r="U32" s="12">
        <v>19.5</v>
      </c>
      <c r="V32" s="12">
        <v>32.5</v>
      </c>
      <c r="W32" s="12">
        <v>15.119047619047619</v>
      </c>
      <c r="X32" s="12">
        <v>142</v>
      </c>
      <c r="Y32" s="12">
        <v>355</v>
      </c>
      <c r="Z32" s="12">
        <v>138</v>
      </c>
      <c r="AA32" s="12">
        <v>36</v>
      </c>
      <c r="AB32" s="12">
        <f t="shared" si="2"/>
        <v>14.791666666666668</v>
      </c>
      <c r="AC32" s="12">
        <f t="shared" si="2"/>
        <v>36.979166666666671</v>
      </c>
      <c r="AD32" s="12">
        <f t="shared" si="2"/>
        <v>14.375</v>
      </c>
      <c r="AE32" s="12">
        <f t="shared" si="2"/>
        <v>3.75</v>
      </c>
      <c r="AF32" s="20">
        <f t="shared" si="3"/>
        <v>66.145833333333343</v>
      </c>
      <c r="AG32" s="20">
        <f t="shared" si="4"/>
        <v>69.895833333333343</v>
      </c>
      <c r="AH32" s="12">
        <v>147.5</v>
      </c>
      <c r="AI32" s="12">
        <v>90</v>
      </c>
      <c r="AJ32" s="12">
        <v>42.5</v>
      </c>
      <c r="AK32" s="12">
        <v>5.7366666666666672</v>
      </c>
      <c r="AL32" s="12">
        <v>4.3099999999999996</v>
      </c>
      <c r="AM32" s="12">
        <v>3.9566666666666666</v>
      </c>
      <c r="AN32" s="12">
        <v>7.3433333333333337</v>
      </c>
      <c r="AO32" s="12">
        <v>6.8183333333333342</v>
      </c>
      <c r="AP32" s="12">
        <v>5.38</v>
      </c>
      <c r="AQ32" s="12">
        <v>18.27</v>
      </c>
      <c r="AR32" s="12">
        <v>27.12</v>
      </c>
      <c r="AS32" s="12">
        <v>4.7549999999999999</v>
      </c>
      <c r="AT32" s="20">
        <v>0.73499999999999999</v>
      </c>
      <c r="AU32" s="12">
        <f t="shared" si="5"/>
        <v>1.903125</v>
      </c>
      <c r="AV32" s="12">
        <f t="shared" si="5"/>
        <v>2.8250000000000002</v>
      </c>
      <c r="AW32" s="12">
        <f t="shared" si="5"/>
        <v>0.49531249999999999</v>
      </c>
      <c r="AX32" s="12">
        <f t="shared" si="5"/>
        <v>7.6562500000000006E-2</v>
      </c>
      <c r="AY32" s="20">
        <f t="shared" si="6"/>
        <v>5.2234375000000002</v>
      </c>
      <c r="AZ32" s="20">
        <f t="shared" si="7"/>
        <v>5.3</v>
      </c>
      <c r="BA32" s="12">
        <v>3.1</v>
      </c>
      <c r="BB32" s="20">
        <f t="shared" si="0"/>
        <v>147.91666666666669</v>
      </c>
      <c r="BC32" s="20">
        <f t="shared" si="0"/>
        <v>369.79166666666674</v>
      </c>
      <c r="BD32" s="20">
        <f t="shared" si="0"/>
        <v>143.75</v>
      </c>
      <c r="BE32" s="20">
        <f t="shared" si="0"/>
        <v>37.5</v>
      </c>
      <c r="BF32" s="20">
        <f t="shared" si="0"/>
        <v>661.45833333333348</v>
      </c>
      <c r="BG32" s="20">
        <f t="shared" si="0"/>
        <v>698.95833333333348</v>
      </c>
      <c r="BH32" s="20">
        <f t="shared" si="8"/>
        <v>19.03125</v>
      </c>
      <c r="BI32" s="20">
        <f t="shared" si="8"/>
        <v>28.25</v>
      </c>
      <c r="BJ32" s="20">
        <f t="shared" si="8"/>
        <v>4.953125</v>
      </c>
      <c r="BK32" s="20">
        <f t="shared" si="8"/>
        <v>0.765625</v>
      </c>
      <c r="BL32" s="20">
        <f t="shared" si="8"/>
        <v>52.234375</v>
      </c>
      <c r="BM32" s="20">
        <f t="shared" si="8"/>
        <v>53</v>
      </c>
    </row>
    <row r="33" spans="1:65" x14ac:dyDescent="0.45">
      <c r="A33" s="11" t="s">
        <v>42</v>
      </c>
      <c r="B33" s="11" t="s">
        <v>41</v>
      </c>
      <c r="C33" s="11">
        <v>2</v>
      </c>
      <c r="D33" s="12">
        <v>0.92749999999999999</v>
      </c>
      <c r="E33" s="12">
        <v>0.95500000000000007</v>
      </c>
      <c r="F33" s="12">
        <v>0.99500000000000011</v>
      </c>
      <c r="G33" s="12">
        <v>1.0274999999999999</v>
      </c>
      <c r="H33" s="12">
        <v>1.08</v>
      </c>
      <c r="I33" s="12">
        <v>1.1800000000000002</v>
      </c>
      <c r="J33" s="12">
        <v>1.35</v>
      </c>
      <c r="K33" s="12">
        <v>1.4400000000000002</v>
      </c>
      <c r="L33" s="12">
        <v>1.1000000000000001</v>
      </c>
      <c r="M33" s="12">
        <v>1.1000000000000001</v>
      </c>
      <c r="N33" s="12">
        <v>1.2000000000000002</v>
      </c>
      <c r="O33" s="12">
        <v>1.2500000000000002</v>
      </c>
      <c r="P33" s="12">
        <v>1.2900000000000003</v>
      </c>
      <c r="Q33" s="12">
        <v>1.45</v>
      </c>
      <c r="R33" s="12">
        <v>1.5249999999999999</v>
      </c>
      <c r="S33" s="12">
        <v>1.6500000000000001</v>
      </c>
      <c r="T33" s="12">
        <v>16.25</v>
      </c>
      <c r="U33" s="12">
        <v>16.25</v>
      </c>
      <c r="V33" s="12">
        <v>32.25</v>
      </c>
      <c r="W33" s="12">
        <v>18.595238095238095</v>
      </c>
      <c r="X33" s="12">
        <v>250</v>
      </c>
      <c r="Y33" s="12">
        <v>432</v>
      </c>
      <c r="Z33" s="12">
        <v>99</v>
      </c>
      <c r="AA33" s="12">
        <v>21</v>
      </c>
      <c r="AB33" s="12">
        <f t="shared" si="2"/>
        <v>26.041666666666668</v>
      </c>
      <c r="AC33" s="12">
        <f t="shared" si="2"/>
        <v>45</v>
      </c>
      <c r="AD33" s="12">
        <f t="shared" si="2"/>
        <v>10.3125</v>
      </c>
      <c r="AE33" s="12">
        <f t="shared" si="2"/>
        <v>2.1875</v>
      </c>
      <c r="AF33" s="20">
        <f t="shared" si="3"/>
        <v>81.354166666666671</v>
      </c>
      <c r="AG33" s="20">
        <f t="shared" si="4"/>
        <v>83.541666666666671</v>
      </c>
      <c r="AH33" s="12">
        <v>185.83333333333334</v>
      </c>
      <c r="AI33" s="12">
        <v>86.666666666666671</v>
      </c>
      <c r="AJ33" s="12">
        <v>30</v>
      </c>
      <c r="AK33" s="12">
        <v>6.4850000000000003</v>
      </c>
      <c r="AL33" s="12">
        <v>4.9716666666666667</v>
      </c>
      <c r="AM33" s="12">
        <v>3.0249999999999999</v>
      </c>
      <c r="AN33" s="12">
        <v>7.7016666666666653</v>
      </c>
      <c r="AO33" s="12">
        <v>6.4450000000000003</v>
      </c>
      <c r="AP33" s="12">
        <v>3.956666666666667</v>
      </c>
      <c r="AQ33" s="12">
        <v>35.120000000000005</v>
      </c>
      <c r="AR33" s="12">
        <v>40.224999999999994</v>
      </c>
      <c r="AS33" s="12">
        <v>3.7900000000000005</v>
      </c>
      <c r="AT33" s="20">
        <v>0.34</v>
      </c>
      <c r="AU33" s="12">
        <f t="shared" si="5"/>
        <v>3.6583333333333341</v>
      </c>
      <c r="AV33" s="12">
        <f t="shared" si="5"/>
        <v>4.1901041666666661</v>
      </c>
      <c r="AW33" s="12">
        <f t="shared" si="5"/>
        <v>0.39479166666666671</v>
      </c>
      <c r="AX33" s="12">
        <f t="shared" si="5"/>
        <v>3.5416666666666673E-2</v>
      </c>
      <c r="AY33" s="20">
        <f t="shared" si="6"/>
        <v>8.2432291666666675</v>
      </c>
      <c r="AZ33" s="20">
        <f t="shared" si="7"/>
        <v>8.2786458333333339</v>
      </c>
      <c r="BA33" s="12">
        <v>3.5</v>
      </c>
      <c r="BB33" s="20">
        <f t="shared" si="0"/>
        <v>260.41666666666669</v>
      </c>
      <c r="BC33" s="20">
        <f t="shared" si="0"/>
        <v>450</v>
      </c>
      <c r="BD33" s="20">
        <f t="shared" si="0"/>
        <v>103.125</v>
      </c>
      <c r="BE33" s="20">
        <f t="shared" si="0"/>
        <v>21.875</v>
      </c>
      <c r="BF33" s="20">
        <f t="shared" si="0"/>
        <v>813.54166666666674</v>
      </c>
      <c r="BG33" s="20">
        <f t="shared" si="0"/>
        <v>835.41666666666674</v>
      </c>
      <c r="BH33" s="20">
        <f t="shared" si="8"/>
        <v>36.583333333333343</v>
      </c>
      <c r="BI33" s="20">
        <f t="shared" si="8"/>
        <v>41.901041666666657</v>
      </c>
      <c r="BJ33" s="20">
        <f t="shared" si="8"/>
        <v>3.947916666666667</v>
      </c>
      <c r="BK33" s="20">
        <f t="shared" si="8"/>
        <v>0.35416666666666674</v>
      </c>
      <c r="BL33" s="20">
        <f t="shared" si="8"/>
        <v>82.432291666666671</v>
      </c>
      <c r="BM33" s="20">
        <f t="shared" si="8"/>
        <v>82.786458333333343</v>
      </c>
    </row>
    <row r="34" spans="1:65" x14ac:dyDescent="0.45">
      <c r="A34" s="11" t="s">
        <v>42</v>
      </c>
      <c r="B34" s="11" t="s">
        <v>41</v>
      </c>
      <c r="C34" s="11">
        <v>3</v>
      </c>
      <c r="D34" s="12">
        <v>0.92999999999999994</v>
      </c>
      <c r="E34" s="12">
        <v>0.96250000000000002</v>
      </c>
      <c r="F34" s="12">
        <v>0.99750000000000005</v>
      </c>
      <c r="G34" s="12">
        <v>1.125</v>
      </c>
      <c r="H34" s="12">
        <v>1.1775</v>
      </c>
      <c r="I34" s="12">
        <v>1.2775000000000001</v>
      </c>
      <c r="J34" s="12">
        <v>1.48</v>
      </c>
      <c r="K34" s="12">
        <v>1.57</v>
      </c>
      <c r="L34" s="12">
        <v>1.125</v>
      </c>
      <c r="M34" s="12">
        <v>1.175</v>
      </c>
      <c r="N34" s="12">
        <v>1.2749999999999999</v>
      </c>
      <c r="O34" s="12">
        <v>1.325</v>
      </c>
      <c r="P34" s="12">
        <v>1.365</v>
      </c>
      <c r="Q34" s="12">
        <v>1.5249999999999999</v>
      </c>
      <c r="R34" s="12">
        <v>1.625</v>
      </c>
      <c r="S34" s="12">
        <v>1.6500000000000001</v>
      </c>
      <c r="T34" s="12">
        <v>20</v>
      </c>
      <c r="U34" s="12">
        <v>20</v>
      </c>
      <c r="V34" s="12">
        <v>32.5</v>
      </c>
      <c r="W34" s="12">
        <v>12.023809523809524</v>
      </c>
      <c r="X34" s="12">
        <v>184</v>
      </c>
      <c r="Y34" s="12">
        <v>244</v>
      </c>
      <c r="Z34" s="12">
        <v>77</v>
      </c>
      <c r="AA34" s="12">
        <v>25</v>
      </c>
      <c r="AB34" s="12">
        <f t="shared" si="2"/>
        <v>19.166666666666668</v>
      </c>
      <c r="AC34" s="12">
        <f t="shared" si="2"/>
        <v>25.416666666666668</v>
      </c>
      <c r="AD34" s="12">
        <f t="shared" si="2"/>
        <v>8.0208333333333339</v>
      </c>
      <c r="AE34" s="12">
        <f t="shared" si="2"/>
        <v>2.604166666666667</v>
      </c>
      <c r="AF34" s="20">
        <f t="shared" si="3"/>
        <v>52.604166666666671</v>
      </c>
      <c r="AG34" s="20">
        <f t="shared" si="4"/>
        <v>55.208333333333336</v>
      </c>
      <c r="AH34" s="12">
        <v>169.16666666666666</v>
      </c>
      <c r="AI34" s="12">
        <v>90</v>
      </c>
      <c r="AJ34" s="12">
        <v>34.166666666666664</v>
      </c>
      <c r="AK34" s="12">
        <v>6.2</v>
      </c>
      <c r="AL34" s="12">
        <v>4.9133333333333331</v>
      </c>
      <c r="AM34" s="12">
        <v>3.15</v>
      </c>
      <c r="AN34" s="12">
        <v>7.3949999999999996</v>
      </c>
      <c r="AO34" s="12">
        <v>6.6916666666666673</v>
      </c>
      <c r="AP34" s="12">
        <v>4.3683333333333332</v>
      </c>
      <c r="AQ34" s="12">
        <v>24.765000000000001</v>
      </c>
      <c r="AR34" s="12">
        <v>19.565000000000001</v>
      </c>
      <c r="AS34" s="12">
        <v>2.91</v>
      </c>
      <c r="AT34" s="20">
        <v>0.33499999999999996</v>
      </c>
      <c r="AU34" s="12">
        <f t="shared" si="5"/>
        <v>2.5796875000000004</v>
      </c>
      <c r="AV34" s="12">
        <f t="shared" si="5"/>
        <v>2.0380208333333334</v>
      </c>
      <c r="AW34" s="12">
        <f t="shared" si="5"/>
        <v>0.30312500000000003</v>
      </c>
      <c r="AX34" s="12">
        <f t="shared" si="5"/>
        <v>3.4895833333333334E-2</v>
      </c>
      <c r="AY34" s="20">
        <f t="shared" si="6"/>
        <v>4.9208333333333334</v>
      </c>
      <c r="AZ34" s="20">
        <f t="shared" si="7"/>
        <v>4.955729166666667</v>
      </c>
      <c r="BA34" s="12">
        <v>4</v>
      </c>
      <c r="BB34" s="20">
        <f t="shared" si="0"/>
        <v>191.66666666666669</v>
      </c>
      <c r="BC34" s="20">
        <f t="shared" si="0"/>
        <v>254.16666666666669</v>
      </c>
      <c r="BD34" s="20">
        <f t="shared" si="0"/>
        <v>80.208333333333343</v>
      </c>
      <c r="BE34" s="20">
        <f t="shared" si="0"/>
        <v>26.041666666666671</v>
      </c>
      <c r="BF34" s="20">
        <f t="shared" si="0"/>
        <v>526.04166666666674</v>
      </c>
      <c r="BG34" s="20">
        <f t="shared" si="0"/>
        <v>552.08333333333337</v>
      </c>
      <c r="BH34" s="20">
        <f t="shared" si="8"/>
        <v>25.796875000000004</v>
      </c>
      <c r="BI34" s="20">
        <f t="shared" si="8"/>
        <v>20.380208333333336</v>
      </c>
      <c r="BJ34" s="20">
        <f t="shared" si="8"/>
        <v>3.0312500000000004</v>
      </c>
      <c r="BK34" s="20">
        <f t="shared" si="8"/>
        <v>0.34895833333333337</v>
      </c>
      <c r="BL34" s="20">
        <f t="shared" si="8"/>
        <v>49.208333333333336</v>
      </c>
      <c r="BM34" s="20">
        <f t="shared" si="8"/>
        <v>49.557291666666671</v>
      </c>
    </row>
    <row r="35" spans="1:65" x14ac:dyDescent="0.45">
      <c r="A35" s="11" t="s">
        <v>42</v>
      </c>
      <c r="B35" s="11" t="s">
        <v>41</v>
      </c>
      <c r="C35" s="11">
        <v>4</v>
      </c>
      <c r="D35" s="12">
        <v>0.95499999999999996</v>
      </c>
      <c r="E35" s="12">
        <v>0.98750000000000004</v>
      </c>
      <c r="F35" s="12">
        <v>1.0375000000000001</v>
      </c>
      <c r="G35" s="12">
        <v>1.2050000000000001</v>
      </c>
      <c r="H35" s="12">
        <v>1.2375</v>
      </c>
      <c r="I35" s="12">
        <v>1.3375000000000001</v>
      </c>
      <c r="J35" s="12">
        <v>1.56</v>
      </c>
      <c r="K35" s="12">
        <v>1.6500000000000001</v>
      </c>
      <c r="L35" s="12">
        <v>1.125</v>
      </c>
      <c r="M35" s="12">
        <v>1.1499999999999999</v>
      </c>
      <c r="N35" s="12">
        <v>1.2249999999999999</v>
      </c>
      <c r="O35" s="12">
        <v>1.2749999999999999</v>
      </c>
      <c r="P35" s="12">
        <v>1.3149999999999999</v>
      </c>
      <c r="Q35" s="12">
        <v>1.5</v>
      </c>
      <c r="R35" s="12">
        <v>1.6</v>
      </c>
      <c r="S35" s="12">
        <v>1.65</v>
      </c>
      <c r="T35" s="12">
        <v>18</v>
      </c>
      <c r="U35" s="12">
        <v>18</v>
      </c>
      <c r="V35" s="12">
        <v>32.25</v>
      </c>
      <c r="W35" s="12">
        <v>15.595238095238097</v>
      </c>
      <c r="X35" s="12">
        <v>170</v>
      </c>
      <c r="Y35" s="12">
        <v>376</v>
      </c>
      <c r="Z35" s="12">
        <v>109</v>
      </c>
      <c r="AA35" s="12">
        <v>22</v>
      </c>
      <c r="AB35" s="12">
        <f t="shared" si="2"/>
        <v>17.708333333333336</v>
      </c>
      <c r="AC35" s="12">
        <f t="shared" si="2"/>
        <v>39.166666666666671</v>
      </c>
      <c r="AD35" s="12">
        <f t="shared" si="2"/>
        <v>11.354166666666668</v>
      </c>
      <c r="AE35" s="12">
        <f t="shared" si="2"/>
        <v>2.291666666666667</v>
      </c>
      <c r="AF35" s="20">
        <f t="shared" si="3"/>
        <v>68.229166666666671</v>
      </c>
      <c r="AG35" s="20">
        <f t="shared" si="4"/>
        <v>70.520833333333343</v>
      </c>
      <c r="AH35" s="12">
        <v>170</v>
      </c>
      <c r="AI35" s="12">
        <v>84.166666666666671</v>
      </c>
      <c r="AJ35" s="12">
        <v>27.5</v>
      </c>
      <c r="AK35" s="12">
        <v>6.2983333333333329</v>
      </c>
      <c r="AL35" s="12">
        <v>4.87</v>
      </c>
      <c r="AM35" s="12">
        <v>2.5133333333333332</v>
      </c>
      <c r="AN35" s="12">
        <v>7.5283333333333333</v>
      </c>
      <c r="AO35" s="12">
        <v>6.1133333333333333</v>
      </c>
      <c r="AP35" s="12">
        <v>3.4</v>
      </c>
      <c r="AQ35" s="12">
        <v>23.375</v>
      </c>
      <c r="AR35" s="12">
        <v>28.840000000000003</v>
      </c>
      <c r="AS35" s="12">
        <v>3.8149999999999999</v>
      </c>
      <c r="AT35" s="20">
        <v>0.40500000000000003</v>
      </c>
      <c r="AU35" s="12">
        <f t="shared" si="5"/>
        <v>2.4348958333333335</v>
      </c>
      <c r="AV35" s="12">
        <f t="shared" si="5"/>
        <v>3.0041666666666673</v>
      </c>
      <c r="AW35" s="12">
        <f t="shared" si="5"/>
        <v>0.39739583333333334</v>
      </c>
      <c r="AX35" s="12">
        <f t="shared" si="5"/>
        <v>4.2187500000000003E-2</v>
      </c>
      <c r="AY35" s="20">
        <f t="shared" si="6"/>
        <v>5.8364583333333337</v>
      </c>
      <c r="AZ35" s="20">
        <f t="shared" si="7"/>
        <v>5.8786458333333336</v>
      </c>
      <c r="BA35" s="12">
        <v>3.5</v>
      </c>
      <c r="BB35" s="20">
        <f t="shared" si="0"/>
        <v>177.08333333333337</v>
      </c>
      <c r="BC35" s="20">
        <f t="shared" si="0"/>
        <v>391.66666666666674</v>
      </c>
      <c r="BD35" s="20">
        <f t="shared" si="0"/>
        <v>113.54166666666669</v>
      </c>
      <c r="BE35" s="20">
        <f t="shared" si="0"/>
        <v>22.916666666666671</v>
      </c>
      <c r="BF35" s="20">
        <f t="shared" si="0"/>
        <v>682.29166666666674</v>
      </c>
      <c r="BG35" s="20">
        <f t="shared" si="0"/>
        <v>705.20833333333348</v>
      </c>
      <c r="BH35" s="20">
        <f t="shared" si="8"/>
        <v>24.348958333333336</v>
      </c>
      <c r="BI35" s="20">
        <f t="shared" si="8"/>
        <v>30.041666666666671</v>
      </c>
      <c r="BJ35" s="20">
        <f t="shared" si="8"/>
        <v>3.9739583333333335</v>
      </c>
      <c r="BK35" s="20">
        <f t="shared" si="8"/>
        <v>0.421875</v>
      </c>
      <c r="BL35" s="20">
        <f t="shared" si="8"/>
        <v>58.364583333333336</v>
      </c>
      <c r="BM35" s="20">
        <f t="shared" si="8"/>
        <v>58.786458333333336</v>
      </c>
    </row>
    <row r="36" spans="1:65" x14ac:dyDescent="0.4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</row>
    <row r="37" spans="1:65" x14ac:dyDescent="0.45">
      <c r="A37" s="1" t="s">
        <v>43</v>
      </c>
      <c r="B37" s="13" t="s">
        <v>44</v>
      </c>
      <c r="C37" s="14"/>
      <c r="D37" s="15"/>
      <c r="E37" s="15"/>
      <c r="F37" s="15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65" x14ac:dyDescent="0.45">
      <c r="A38" s="1" t="s">
        <v>17</v>
      </c>
      <c r="B38" s="13" t="s">
        <v>45</v>
      </c>
      <c r="C38" s="14"/>
      <c r="D38" s="14"/>
      <c r="E38" s="15"/>
      <c r="F38" s="15"/>
      <c r="G38" s="3" t="str">
        <f t="shared" ref="G38:V53" si="9">D3</f>
        <v>APEV (m)</v>
      </c>
      <c r="H38" s="3" t="str">
        <f t="shared" si="9"/>
        <v>APEV (m)</v>
      </c>
      <c r="I38" s="3" t="str">
        <f t="shared" si="9"/>
        <v>APEV (m)</v>
      </c>
      <c r="J38" s="3" t="str">
        <f t="shared" si="9"/>
        <v>APEF (m)</v>
      </c>
      <c r="K38" s="3" t="str">
        <f t="shared" si="9"/>
        <v>APEF(m)</v>
      </c>
      <c r="L38" s="3" t="str">
        <f t="shared" si="9"/>
        <v>APEF (m)</v>
      </c>
      <c r="M38" s="3" t="str">
        <f t="shared" si="9"/>
        <v>APIF (m)</v>
      </c>
      <c r="N38" s="3" t="str">
        <f t="shared" si="9"/>
        <v>APIF (m)</v>
      </c>
      <c r="O38" s="4" t="str">
        <f t="shared" si="9"/>
        <v>DPEV (cm)</v>
      </c>
      <c r="P38" s="4" t="str">
        <f t="shared" si="9"/>
        <v>DPEV(cm)</v>
      </c>
      <c r="Q38" s="4" t="str">
        <f t="shared" si="9"/>
        <v>DPEV(cm)</v>
      </c>
      <c r="R38" s="4" t="str">
        <f t="shared" si="9"/>
        <v>DPEF (cm)</v>
      </c>
      <c r="S38" s="4" t="str">
        <f t="shared" si="9"/>
        <v>DPEF (cm)</v>
      </c>
      <c r="T38" s="4" t="str">
        <f t="shared" si="9"/>
        <v>DPEF (cm)</v>
      </c>
      <c r="U38" s="4" t="str">
        <f t="shared" si="9"/>
        <v>DPIF (cm)</v>
      </c>
      <c r="V38" s="4" t="str">
        <f t="shared" si="9"/>
        <v>DPIF ( cm)</v>
      </c>
    </row>
    <row r="39" spans="1:65" x14ac:dyDescent="0.45">
      <c r="A39" s="1" t="s">
        <v>46</v>
      </c>
      <c r="B39" s="13" t="s">
        <v>47</v>
      </c>
      <c r="C39" s="14"/>
      <c r="D39" s="14"/>
      <c r="E39" s="15"/>
      <c r="F39" s="15"/>
      <c r="G39" s="5">
        <f t="shared" si="9"/>
        <v>0.67999999999999994</v>
      </c>
      <c r="H39" s="5">
        <f>E4</f>
        <v>0.73000000000000009</v>
      </c>
      <c r="I39" s="5">
        <f>F4</f>
        <v>0.77249999999999996</v>
      </c>
      <c r="J39" s="5">
        <f t="shared" si="9"/>
        <v>0.89750000000000008</v>
      </c>
      <c r="K39" s="5">
        <f t="shared" si="9"/>
        <v>0.92749999999999999</v>
      </c>
      <c r="L39" s="5">
        <f t="shared" si="9"/>
        <v>1.0275000000000001</v>
      </c>
      <c r="M39" s="5">
        <f t="shared" si="9"/>
        <v>1.3466666666666667</v>
      </c>
      <c r="N39" s="5">
        <f t="shared" si="9"/>
        <v>1.4366666666666668</v>
      </c>
      <c r="O39" s="5">
        <f t="shared" si="9"/>
        <v>1.0249999999999999</v>
      </c>
      <c r="P39" s="5">
        <f t="shared" si="9"/>
        <v>1.1000000000000001</v>
      </c>
      <c r="Q39" s="5">
        <f t="shared" si="9"/>
        <v>1.2250000000000001</v>
      </c>
      <c r="R39" s="5">
        <f t="shared" si="9"/>
        <v>1.2750000000000001</v>
      </c>
      <c r="S39" s="5">
        <f t="shared" si="9"/>
        <v>1.3150000000000002</v>
      </c>
      <c r="T39" s="5">
        <f t="shared" si="9"/>
        <v>1.4500000000000002</v>
      </c>
      <c r="U39" s="5">
        <f t="shared" si="9"/>
        <v>1.55</v>
      </c>
      <c r="V39" s="5">
        <f t="shared" si="9"/>
        <v>1.6500000000000001</v>
      </c>
    </row>
    <row r="40" spans="1:65" x14ac:dyDescent="0.45">
      <c r="A40" s="1" t="s">
        <v>19</v>
      </c>
      <c r="B40" s="13" t="s">
        <v>48</v>
      </c>
      <c r="C40" s="14"/>
      <c r="D40" s="14"/>
      <c r="E40" s="15"/>
      <c r="F40" s="15"/>
      <c r="G40" s="5">
        <f t="shared" si="9"/>
        <v>0.83499999999999996</v>
      </c>
      <c r="H40" s="5">
        <f t="shared" si="9"/>
        <v>0.86749999999999994</v>
      </c>
      <c r="I40" s="5">
        <f t="shared" si="9"/>
        <v>0.88500000000000001</v>
      </c>
      <c r="J40" s="5">
        <f t="shared" si="9"/>
        <v>0.94250000000000012</v>
      </c>
      <c r="K40" s="5">
        <f t="shared" si="9"/>
        <v>1</v>
      </c>
      <c r="L40" s="5">
        <f t="shared" si="9"/>
        <v>1.1000000000000001</v>
      </c>
      <c r="M40" s="5">
        <f t="shared" si="9"/>
        <v>1.333333333333333</v>
      </c>
      <c r="N40" s="5">
        <f t="shared" si="9"/>
        <v>1.4233333333333331</v>
      </c>
      <c r="O40" s="5">
        <f t="shared" si="9"/>
        <v>1.0750000000000002</v>
      </c>
      <c r="P40" s="5">
        <f t="shared" si="9"/>
        <v>1.0750000000000002</v>
      </c>
      <c r="Q40" s="5">
        <f t="shared" si="9"/>
        <v>1.2</v>
      </c>
      <c r="R40" s="5">
        <f t="shared" si="9"/>
        <v>1.25</v>
      </c>
      <c r="S40" s="5">
        <f t="shared" si="9"/>
        <v>1.29</v>
      </c>
      <c r="T40" s="5">
        <f t="shared" si="9"/>
        <v>1.4750000000000001</v>
      </c>
      <c r="U40" s="5">
        <f t="shared" si="9"/>
        <v>1.5249999999999999</v>
      </c>
      <c r="V40" s="5">
        <f t="shared" si="9"/>
        <v>1.625</v>
      </c>
    </row>
    <row r="41" spans="1:65" x14ac:dyDescent="0.45">
      <c r="A41" s="1" t="s">
        <v>49</v>
      </c>
      <c r="B41" s="13" t="s">
        <v>50</v>
      </c>
      <c r="C41" s="14"/>
      <c r="D41" s="14"/>
      <c r="E41" s="14"/>
      <c r="F41" s="15"/>
      <c r="G41" s="5">
        <f t="shared" si="9"/>
        <v>0.88</v>
      </c>
      <c r="H41" s="5">
        <f t="shared" si="9"/>
        <v>0.9</v>
      </c>
      <c r="I41" s="5">
        <f t="shared" si="9"/>
        <v>0.92500000000000004</v>
      </c>
      <c r="J41" s="5">
        <f t="shared" si="9"/>
        <v>0.93500000000000005</v>
      </c>
      <c r="K41" s="5">
        <f t="shared" si="9"/>
        <v>0.98499999999999999</v>
      </c>
      <c r="L41" s="5">
        <f t="shared" si="9"/>
        <v>1.085</v>
      </c>
      <c r="M41" s="5">
        <f t="shared" si="9"/>
        <v>1.3033333333333332</v>
      </c>
      <c r="N41" s="5">
        <f t="shared" si="9"/>
        <v>1.3933333333333333</v>
      </c>
      <c r="O41" s="5">
        <f t="shared" si="9"/>
        <v>1.1000000000000001</v>
      </c>
      <c r="P41" s="5">
        <f t="shared" si="9"/>
        <v>1.2</v>
      </c>
      <c r="Q41" s="5">
        <f t="shared" si="9"/>
        <v>1.55</v>
      </c>
      <c r="R41" s="5">
        <f t="shared" si="9"/>
        <v>1.6</v>
      </c>
      <c r="S41" s="5">
        <f t="shared" si="9"/>
        <v>1.6400000000000001</v>
      </c>
      <c r="T41" s="5">
        <f t="shared" si="9"/>
        <v>1.575</v>
      </c>
      <c r="U41" s="5">
        <f t="shared" si="9"/>
        <v>1.625</v>
      </c>
      <c r="V41" s="5">
        <f t="shared" si="9"/>
        <v>1.675</v>
      </c>
    </row>
    <row r="42" spans="1:65" x14ac:dyDescent="0.45">
      <c r="A42" s="1" t="s">
        <v>51</v>
      </c>
      <c r="B42" s="13" t="s">
        <v>52</v>
      </c>
      <c r="C42" s="14"/>
      <c r="D42" s="14"/>
      <c r="E42" s="14"/>
      <c r="F42" s="15"/>
      <c r="G42" s="5">
        <f t="shared" si="9"/>
        <v>0.89750000000000008</v>
      </c>
      <c r="H42" s="5">
        <f t="shared" si="9"/>
        <v>0.92</v>
      </c>
      <c r="I42" s="5">
        <f t="shared" si="9"/>
        <v>0.95250000000000001</v>
      </c>
      <c r="J42" s="5">
        <f t="shared" si="9"/>
        <v>1.0050000000000001</v>
      </c>
      <c r="K42" s="5">
        <f t="shared" si="9"/>
        <v>1.0525</v>
      </c>
      <c r="L42" s="5">
        <f t="shared" si="9"/>
        <v>1.1525000000000001</v>
      </c>
      <c r="M42" s="5">
        <f t="shared" si="9"/>
        <v>1.3933333333333333</v>
      </c>
      <c r="N42" s="5">
        <f t="shared" si="9"/>
        <v>1.4833333333333334</v>
      </c>
      <c r="O42" s="5">
        <f t="shared" si="9"/>
        <v>1.1000000000000001</v>
      </c>
      <c r="P42" s="5">
        <f t="shared" si="9"/>
        <v>1.125</v>
      </c>
      <c r="Q42" s="5">
        <f t="shared" si="9"/>
        <v>1.325</v>
      </c>
      <c r="R42" s="5">
        <f t="shared" si="9"/>
        <v>1.375</v>
      </c>
      <c r="S42" s="5">
        <f t="shared" si="9"/>
        <v>1.415</v>
      </c>
      <c r="T42" s="5">
        <f t="shared" si="9"/>
        <v>1.5499999999999998</v>
      </c>
      <c r="U42" s="5">
        <f t="shared" si="9"/>
        <v>1.6</v>
      </c>
      <c r="V42" s="5">
        <f t="shared" si="9"/>
        <v>1.675</v>
      </c>
    </row>
    <row r="43" spans="1:65" x14ac:dyDescent="0.45">
      <c r="A43" s="1" t="s">
        <v>53</v>
      </c>
      <c r="B43" s="13" t="s">
        <v>54</v>
      </c>
      <c r="C43" s="14"/>
      <c r="D43" s="14"/>
      <c r="E43" s="14"/>
      <c r="F43" s="15"/>
      <c r="G43" s="5">
        <f t="shared" si="9"/>
        <v>0.86</v>
      </c>
      <c r="H43" s="5">
        <f t="shared" si="9"/>
        <v>0.90500000000000003</v>
      </c>
      <c r="I43" s="5">
        <f t="shared" si="9"/>
        <v>0.93</v>
      </c>
      <c r="J43" s="5">
        <f t="shared" si="9"/>
        <v>0.99750000000000005</v>
      </c>
      <c r="K43" s="5">
        <f t="shared" si="9"/>
        <v>1.0525</v>
      </c>
      <c r="L43" s="5">
        <f t="shared" si="9"/>
        <v>1.1525000000000001</v>
      </c>
      <c r="M43" s="5">
        <f t="shared" si="9"/>
        <v>1.3833333333333333</v>
      </c>
      <c r="N43" s="5">
        <f t="shared" si="9"/>
        <v>1.4733333333333334</v>
      </c>
      <c r="O43" s="5">
        <f t="shared" si="9"/>
        <v>1.0750000000000002</v>
      </c>
      <c r="P43" s="5">
        <f t="shared" si="9"/>
        <v>1.1000000000000001</v>
      </c>
      <c r="Q43" s="5">
        <f t="shared" si="9"/>
        <v>1.2749999999999999</v>
      </c>
      <c r="R43" s="5">
        <f t="shared" si="9"/>
        <v>1.325</v>
      </c>
      <c r="S43" s="5">
        <f t="shared" si="9"/>
        <v>1.365</v>
      </c>
      <c r="T43" s="5">
        <f t="shared" si="9"/>
        <v>1.5249999999999999</v>
      </c>
      <c r="U43" s="5">
        <f t="shared" si="9"/>
        <v>1.65</v>
      </c>
      <c r="V43" s="5">
        <f t="shared" si="9"/>
        <v>1.65</v>
      </c>
    </row>
    <row r="44" spans="1:65" x14ac:dyDescent="0.45">
      <c r="A44" s="1" t="s">
        <v>55</v>
      </c>
      <c r="B44" s="13" t="s">
        <v>56</v>
      </c>
      <c r="C44" s="14"/>
      <c r="D44" s="14"/>
      <c r="E44" s="14"/>
      <c r="F44" s="15"/>
      <c r="G44" s="5">
        <f t="shared" si="9"/>
        <v>0.90750000000000008</v>
      </c>
      <c r="H44" s="5">
        <f t="shared" si="9"/>
        <v>0.96249999999999991</v>
      </c>
      <c r="I44" s="5">
        <f t="shared" si="9"/>
        <v>1</v>
      </c>
      <c r="J44" s="5">
        <f t="shared" si="9"/>
        <v>1.0874999999999999</v>
      </c>
      <c r="K44" s="5">
        <f t="shared" si="9"/>
        <v>1.1274999999999999</v>
      </c>
      <c r="L44" s="5">
        <f t="shared" si="9"/>
        <v>1.2275</v>
      </c>
      <c r="M44" s="5">
        <f t="shared" si="9"/>
        <v>1.4699999999999998</v>
      </c>
      <c r="N44" s="5">
        <f t="shared" si="9"/>
        <v>1.5599999999999998</v>
      </c>
      <c r="O44" s="5">
        <f t="shared" si="9"/>
        <v>1.1499999999999999</v>
      </c>
      <c r="P44" s="5">
        <f t="shared" si="9"/>
        <v>1.2250000000000001</v>
      </c>
      <c r="Q44" s="5">
        <f t="shared" si="9"/>
        <v>1.4500000000000002</v>
      </c>
      <c r="R44" s="5">
        <f t="shared" si="9"/>
        <v>1.5000000000000002</v>
      </c>
      <c r="S44" s="5">
        <f t="shared" si="9"/>
        <v>1.5400000000000003</v>
      </c>
      <c r="T44" s="5">
        <f t="shared" si="9"/>
        <v>1.5499999999999998</v>
      </c>
      <c r="U44" s="5">
        <f t="shared" si="9"/>
        <v>1.6250000000000002</v>
      </c>
      <c r="V44" s="5">
        <f t="shared" si="9"/>
        <v>1.7</v>
      </c>
    </row>
    <row r="45" spans="1:65" x14ac:dyDescent="0.45">
      <c r="A45" s="1" t="s">
        <v>57</v>
      </c>
      <c r="B45" s="13" t="s">
        <v>58</v>
      </c>
      <c r="C45" s="14"/>
      <c r="D45" s="14"/>
      <c r="E45" s="14"/>
      <c r="F45" s="15"/>
      <c r="G45" s="5">
        <f t="shared" si="9"/>
        <v>0.98499999999999999</v>
      </c>
      <c r="H45" s="5">
        <f t="shared" si="9"/>
        <v>1.03</v>
      </c>
      <c r="I45" s="5">
        <f t="shared" si="9"/>
        <v>1.0774999999999999</v>
      </c>
      <c r="J45" s="5">
        <f t="shared" si="9"/>
        <v>1.0899999999999999</v>
      </c>
      <c r="K45" s="5">
        <f t="shared" si="9"/>
        <v>1.1425000000000001</v>
      </c>
      <c r="L45" s="5">
        <f t="shared" si="9"/>
        <v>1.2425000000000002</v>
      </c>
      <c r="M45" s="5">
        <f t="shared" si="9"/>
        <v>1.4333333333333333</v>
      </c>
      <c r="N45" s="5">
        <f t="shared" si="9"/>
        <v>1.5233333333333334</v>
      </c>
      <c r="O45" s="5">
        <f t="shared" si="9"/>
        <v>1.0750000000000002</v>
      </c>
      <c r="P45" s="5">
        <f t="shared" si="9"/>
        <v>1.2000000000000002</v>
      </c>
      <c r="Q45" s="5">
        <f t="shared" si="9"/>
        <v>1.425</v>
      </c>
      <c r="R45" s="5">
        <f t="shared" si="9"/>
        <v>1.4750000000000001</v>
      </c>
      <c r="S45" s="5">
        <f t="shared" si="9"/>
        <v>1.5150000000000001</v>
      </c>
      <c r="T45" s="5">
        <f t="shared" si="9"/>
        <v>1.5249999999999999</v>
      </c>
      <c r="U45" s="5">
        <f t="shared" si="9"/>
        <v>1.5750000000000002</v>
      </c>
      <c r="V45" s="5">
        <f t="shared" si="9"/>
        <v>1.675</v>
      </c>
    </row>
    <row r="46" spans="1:65" x14ac:dyDescent="0.45">
      <c r="A46" s="1" t="s">
        <v>59</v>
      </c>
      <c r="B46" s="13" t="s">
        <v>60</v>
      </c>
      <c r="C46" s="14"/>
      <c r="D46" s="14"/>
      <c r="E46" s="14"/>
      <c r="F46" s="15"/>
      <c r="G46" s="5">
        <f t="shared" si="9"/>
        <v>0.86250000000000004</v>
      </c>
      <c r="H46" s="5">
        <f t="shared" si="9"/>
        <v>0.89</v>
      </c>
      <c r="I46" s="5">
        <f t="shared" si="9"/>
        <v>0.94500000000000006</v>
      </c>
      <c r="J46" s="5">
        <f t="shared" si="9"/>
        <v>1.1375</v>
      </c>
      <c r="K46" s="5">
        <f t="shared" si="9"/>
        <v>1.1875</v>
      </c>
      <c r="L46" s="5">
        <f t="shared" si="9"/>
        <v>1.2875000000000001</v>
      </c>
      <c r="M46" s="5">
        <f t="shared" si="9"/>
        <v>1.4933333333333332</v>
      </c>
      <c r="N46" s="5">
        <f t="shared" si="9"/>
        <v>1.5833333333333333</v>
      </c>
      <c r="O46" s="5">
        <f t="shared" si="9"/>
        <v>1.0249999999999999</v>
      </c>
      <c r="P46" s="5">
        <f t="shared" si="9"/>
        <v>1.125</v>
      </c>
      <c r="Q46" s="5">
        <f t="shared" si="9"/>
        <v>1.25</v>
      </c>
      <c r="R46" s="5">
        <f t="shared" si="9"/>
        <v>1.3</v>
      </c>
      <c r="S46" s="5">
        <f t="shared" si="9"/>
        <v>1.34</v>
      </c>
      <c r="T46" s="5">
        <f t="shared" si="9"/>
        <v>1.6</v>
      </c>
      <c r="U46" s="5">
        <f t="shared" si="9"/>
        <v>1.6250000000000002</v>
      </c>
      <c r="V46" s="5">
        <f t="shared" si="9"/>
        <v>1.7249999999999999</v>
      </c>
    </row>
    <row r="47" spans="1:65" x14ac:dyDescent="0.45">
      <c r="A47" s="1" t="s">
        <v>61</v>
      </c>
      <c r="B47" s="13" t="s">
        <v>62</v>
      </c>
      <c r="C47" s="14"/>
      <c r="D47" s="14"/>
      <c r="E47" s="14"/>
      <c r="F47" s="15"/>
      <c r="G47" s="5">
        <f t="shared" si="9"/>
        <v>0.75250000000000006</v>
      </c>
      <c r="H47" s="5">
        <f t="shared" si="9"/>
        <v>0.76500000000000012</v>
      </c>
      <c r="I47" s="5">
        <f t="shared" si="9"/>
        <v>0.79499999999999993</v>
      </c>
      <c r="J47" s="5">
        <f t="shared" si="9"/>
        <v>0.93500000000000005</v>
      </c>
      <c r="K47" s="5">
        <f t="shared" si="9"/>
        <v>1.02</v>
      </c>
      <c r="L47" s="5">
        <f t="shared" si="9"/>
        <v>1.1200000000000001</v>
      </c>
      <c r="M47" s="5">
        <f t="shared" si="9"/>
        <v>1.27</v>
      </c>
      <c r="N47" s="5">
        <f t="shared" si="9"/>
        <v>1.36</v>
      </c>
      <c r="O47" s="5">
        <f t="shared" si="9"/>
        <v>1.05</v>
      </c>
      <c r="P47" s="5">
        <f t="shared" si="9"/>
        <v>1.1000000000000001</v>
      </c>
      <c r="Q47" s="5">
        <f t="shared" si="9"/>
        <v>1.375</v>
      </c>
      <c r="R47" s="5">
        <f t="shared" si="9"/>
        <v>1.425</v>
      </c>
      <c r="S47" s="5">
        <f t="shared" si="9"/>
        <v>1.4650000000000001</v>
      </c>
      <c r="T47" s="5">
        <f t="shared" si="9"/>
        <v>1.5499999999999998</v>
      </c>
      <c r="U47" s="5">
        <f t="shared" si="9"/>
        <v>1.5750000000000002</v>
      </c>
      <c r="V47" s="5">
        <f t="shared" si="9"/>
        <v>1.675</v>
      </c>
    </row>
    <row r="48" spans="1:65" x14ac:dyDescent="0.45">
      <c r="A48" s="1" t="s">
        <v>63</v>
      </c>
      <c r="B48" s="13" t="s">
        <v>64</v>
      </c>
      <c r="C48" s="14"/>
      <c r="D48" s="14"/>
      <c r="E48" s="14"/>
      <c r="F48" s="15"/>
      <c r="G48" s="5">
        <f t="shared" si="9"/>
        <v>0.90749999999999997</v>
      </c>
      <c r="H48" s="5">
        <f t="shared" si="9"/>
        <v>0.9375</v>
      </c>
      <c r="I48" s="5">
        <f t="shared" si="9"/>
        <v>0.97250000000000003</v>
      </c>
      <c r="J48" s="5">
        <f t="shared" si="9"/>
        <v>1.085</v>
      </c>
      <c r="K48" s="5">
        <f t="shared" si="9"/>
        <v>1.1425000000000001</v>
      </c>
      <c r="L48" s="5">
        <f t="shared" si="9"/>
        <v>1.2425000000000002</v>
      </c>
      <c r="M48" s="5">
        <f t="shared" si="9"/>
        <v>1.4333333333333333</v>
      </c>
      <c r="N48" s="5">
        <f t="shared" si="9"/>
        <v>1.5233333333333334</v>
      </c>
      <c r="O48" s="5">
        <f t="shared" si="9"/>
        <v>1.125</v>
      </c>
      <c r="P48" s="5">
        <f t="shared" si="9"/>
        <v>1.2250000000000001</v>
      </c>
      <c r="Q48" s="5">
        <f t="shared" si="9"/>
        <v>1.5249999999999999</v>
      </c>
      <c r="R48" s="5">
        <f t="shared" si="9"/>
        <v>1.575</v>
      </c>
      <c r="S48" s="5">
        <f t="shared" si="9"/>
        <v>1.615</v>
      </c>
      <c r="T48" s="5">
        <f t="shared" si="9"/>
        <v>1.6250000000000002</v>
      </c>
      <c r="U48" s="5">
        <f t="shared" si="9"/>
        <v>1.6500000000000001</v>
      </c>
      <c r="V48" s="5">
        <f t="shared" si="9"/>
        <v>1.675</v>
      </c>
    </row>
    <row r="49" spans="1:22" x14ac:dyDescent="0.45">
      <c r="A49" s="1" t="s">
        <v>65</v>
      </c>
      <c r="B49" s="13" t="s">
        <v>66</v>
      </c>
      <c r="C49" s="14"/>
      <c r="D49" s="14"/>
      <c r="E49" s="14"/>
      <c r="F49" s="15"/>
      <c r="G49" s="5">
        <f t="shared" si="9"/>
        <v>0.86</v>
      </c>
      <c r="H49" s="5">
        <f t="shared" si="9"/>
        <v>0.89</v>
      </c>
      <c r="I49" s="5">
        <f t="shared" si="9"/>
        <v>0.92999999999999994</v>
      </c>
      <c r="J49" s="5">
        <f t="shared" si="9"/>
        <v>1.0175000000000001</v>
      </c>
      <c r="K49" s="5">
        <f t="shared" si="9"/>
        <v>1.0625</v>
      </c>
      <c r="L49" s="5">
        <f t="shared" si="9"/>
        <v>1.1625000000000001</v>
      </c>
      <c r="M49" s="5">
        <f t="shared" si="9"/>
        <v>1.3266666666666667</v>
      </c>
      <c r="N49" s="5">
        <f t="shared" si="9"/>
        <v>1.4166666666666667</v>
      </c>
      <c r="O49" s="5">
        <f t="shared" si="9"/>
        <v>1.0750000000000002</v>
      </c>
      <c r="P49" s="5">
        <f t="shared" si="9"/>
        <v>1.1499999999999999</v>
      </c>
      <c r="Q49" s="5">
        <f t="shared" si="9"/>
        <v>1.325</v>
      </c>
      <c r="R49" s="5">
        <f t="shared" si="9"/>
        <v>1.375</v>
      </c>
      <c r="S49" s="5">
        <f t="shared" si="9"/>
        <v>1.415</v>
      </c>
      <c r="T49" s="5">
        <f t="shared" si="9"/>
        <v>1.5249999999999999</v>
      </c>
      <c r="U49" s="5">
        <f t="shared" si="9"/>
        <v>1.6</v>
      </c>
      <c r="V49" s="5">
        <f t="shared" si="9"/>
        <v>1.675</v>
      </c>
    </row>
    <row r="50" spans="1:22" x14ac:dyDescent="0.45">
      <c r="A50" s="1" t="s">
        <v>67</v>
      </c>
      <c r="B50" s="13" t="s">
        <v>68</v>
      </c>
      <c r="C50" s="14"/>
      <c r="D50" s="14"/>
      <c r="E50" s="14"/>
      <c r="F50" s="15"/>
      <c r="G50" s="5">
        <f t="shared" si="9"/>
        <v>0.85499999999999998</v>
      </c>
      <c r="H50" s="5">
        <f t="shared" si="9"/>
        <v>0.88749999999999996</v>
      </c>
      <c r="I50" s="5">
        <f t="shared" si="9"/>
        <v>0.90500000000000003</v>
      </c>
      <c r="J50" s="5">
        <f t="shared" si="9"/>
        <v>0.99750000000000005</v>
      </c>
      <c r="K50" s="5">
        <f t="shared" si="9"/>
        <v>1.0649999999999999</v>
      </c>
      <c r="L50" s="5">
        <f t="shared" si="9"/>
        <v>1.165</v>
      </c>
      <c r="M50" s="5">
        <f t="shared" si="9"/>
        <v>1.3299999999999998</v>
      </c>
      <c r="N50" s="5">
        <f t="shared" si="9"/>
        <v>1.42</v>
      </c>
      <c r="O50" s="5">
        <f t="shared" si="9"/>
        <v>1.1499999999999999</v>
      </c>
      <c r="P50" s="5">
        <f t="shared" si="9"/>
        <v>1.175</v>
      </c>
      <c r="Q50" s="5">
        <f t="shared" si="9"/>
        <v>1.4</v>
      </c>
      <c r="R50" s="5">
        <f t="shared" si="9"/>
        <v>1.45</v>
      </c>
      <c r="S50" s="5">
        <f t="shared" si="9"/>
        <v>1.49</v>
      </c>
      <c r="T50" s="5">
        <f t="shared" si="9"/>
        <v>1.5499999999999998</v>
      </c>
      <c r="U50" s="5">
        <f t="shared" si="9"/>
        <v>1.5499999999999998</v>
      </c>
      <c r="V50" s="5">
        <f t="shared" si="9"/>
        <v>1.6250000000000002</v>
      </c>
    </row>
    <row r="51" spans="1:22" x14ac:dyDescent="0.45">
      <c r="A51" s="1" t="s">
        <v>69</v>
      </c>
      <c r="B51" s="13" t="s">
        <v>70</v>
      </c>
      <c r="C51" s="14"/>
      <c r="D51" s="14"/>
      <c r="E51" s="14"/>
      <c r="F51" s="15"/>
      <c r="G51" s="5">
        <f t="shared" si="9"/>
        <v>0.92500000000000004</v>
      </c>
      <c r="H51" s="5">
        <f t="shared" si="9"/>
        <v>0.98750000000000004</v>
      </c>
      <c r="I51" s="5">
        <f t="shared" si="9"/>
        <v>1.02</v>
      </c>
      <c r="J51" s="5">
        <f t="shared" si="9"/>
        <v>1.145</v>
      </c>
      <c r="K51" s="5">
        <f t="shared" si="9"/>
        <v>1.2050000000000001</v>
      </c>
      <c r="L51" s="5">
        <f t="shared" si="9"/>
        <v>1.3050000000000002</v>
      </c>
      <c r="M51" s="5">
        <f t="shared" si="9"/>
        <v>1.5166666666666666</v>
      </c>
      <c r="N51" s="5">
        <f t="shared" si="9"/>
        <v>1.6066666666666667</v>
      </c>
      <c r="O51" s="5">
        <f t="shared" si="9"/>
        <v>1.125</v>
      </c>
      <c r="P51" s="5">
        <f t="shared" si="9"/>
        <v>1.1499999999999999</v>
      </c>
      <c r="Q51" s="5">
        <f t="shared" si="9"/>
        <v>1.3499999999999999</v>
      </c>
      <c r="R51" s="5">
        <f t="shared" si="9"/>
        <v>1.4</v>
      </c>
      <c r="S51" s="5">
        <f t="shared" si="9"/>
        <v>1.44</v>
      </c>
      <c r="T51" s="5">
        <f t="shared" si="9"/>
        <v>1.5249999999999999</v>
      </c>
      <c r="U51" s="5">
        <f t="shared" si="9"/>
        <v>1.5499999999999998</v>
      </c>
      <c r="V51" s="5">
        <f t="shared" si="9"/>
        <v>1.6500000000000001</v>
      </c>
    </row>
    <row r="52" spans="1:22" x14ac:dyDescent="0.45">
      <c r="A52" s="1" t="s">
        <v>71</v>
      </c>
      <c r="B52" s="13" t="s">
        <v>72</v>
      </c>
      <c r="C52" s="14"/>
      <c r="D52" s="14"/>
      <c r="E52" s="14"/>
      <c r="F52" s="15"/>
      <c r="G52" s="5">
        <f t="shared" si="9"/>
        <v>0.95749999999999991</v>
      </c>
      <c r="H52" s="5">
        <f t="shared" si="9"/>
        <v>1.0024999999999999</v>
      </c>
      <c r="I52" s="5">
        <f t="shared" si="9"/>
        <v>1.03</v>
      </c>
      <c r="J52" s="5">
        <f t="shared" si="9"/>
        <v>1.1525000000000001</v>
      </c>
      <c r="K52" s="5">
        <f t="shared" si="9"/>
        <v>1.2050000000000001</v>
      </c>
      <c r="L52" s="5">
        <f t="shared" si="9"/>
        <v>1.3050000000000002</v>
      </c>
      <c r="M52" s="5">
        <f t="shared" si="9"/>
        <v>1.5166666666666666</v>
      </c>
      <c r="N52" s="5">
        <f t="shared" si="9"/>
        <v>1.6066666666666667</v>
      </c>
      <c r="O52" s="5">
        <f t="shared" si="9"/>
        <v>1.125</v>
      </c>
      <c r="P52" s="5">
        <f t="shared" si="9"/>
        <v>1.125</v>
      </c>
      <c r="Q52" s="5">
        <f t="shared" si="9"/>
        <v>1.2250000000000001</v>
      </c>
      <c r="R52" s="5">
        <f t="shared" si="9"/>
        <v>1.2750000000000001</v>
      </c>
      <c r="S52" s="5">
        <f t="shared" si="9"/>
        <v>1.3150000000000002</v>
      </c>
      <c r="T52" s="5">
        <f t="shared" si="9"/>
        <v>1.5249999999999999</v>
      </c>
      <c r="U52" s="5">
        <f t="shared" si="9"/>
        <v>1.5249999999999999</v>
      </c>
      <c r="V52" s="5">
        <f t="shared" si="9"/>
        <v>1.625</v>
      </c>
    </row>
    <row r="53" spans="1:22" x14ac:dyDescent="0.45">
      <c r="A53" s="1" t="s">
        <v>73</v>
      </c>
      <c r="B53" s="13" t="s">
        <v>74</v>
      </c>
      <c r="C53" s="14"/>
      <c r="D53" s="14"/>
      <c r="E53" s="14"/>
      <c r="F53" s="15"/>
      <c r="G53" s="5">
        <f t="shared" si="9"/>
        <v>0.92675000000000007</v>
      </c>
      <c r="H53" s="5">
        <f t="shared" si="9"/>
        <v>0.94499999999999995</v>
      </c>
      <c r="I53" s="5">
        <f t="shared" si="9"/>
        <v>1.0075000000000001</v>
      </c>
      <c r="J53" s="5">
        <f t="shared" si="9"/>
        <v>1.1749999999999998</v>
      </c>
      <c r="K53" s="5">
        <f t="shared" si="9"/>
        <v>1.2125000000000001</v>
      </c>
      <c r="L53" s="5">
        <f t="shared" si="9"/>
        <v>1.3125000000000002</v>
      </c>
      <c r="M53" s="5">
        <f t="shared" si="9"/>
        <v>1.5266666666666668</v>
      </c>
      <c r="N53" s="5">
        <f t="shared" si="9"/>
        <v>1.6166666666666669</v>
      </c>
      <c r="O53" s="5">
        <f t="shared" si="9"/>
        <v>1.1500000000000001</v>
      </c>
      <c r="P53" s="5">
        <f t="shared" si="9"/>
        <v>1.2250000000000001</v>
      </c>
      <c r="Q53" s="5">
        <f t="shared" si="9"/>
        <v>1.35</v>
      </c>
      <c r="R53" s="5">
        <f t="shared" si="9"/>
        <v>1.4000000000000001</v>
      </c>
      <c r="S53" s="5">
        <f t="shared" si="9"/>
        <v>1.4400000000000002</v>
      </c>
      <c r="T53" s="5">
        <f t="shared" si="9"/>
        <v>1.5</v>
      </c>
      <c r="U53" s="5">
        <f t="shared" si="9"/>
        <v>1.5750000000000002</v>
      </c>
      <c r="V53" s="5">
        <f t="shared" si="9"/>
        <v>1.6500000000000001</v>
      </c>
    </row>
    <row r="54" spans="1:22" x14ac:dyDescent="0.45">
      <c r="A54" s="1" t="s">
        <v>75</v>
      </c>
      <c r="B54" s="13" t="s">
        <v>76</v>
      </c>
      <c r="C54" s="14"/>
      <c r="D54" s="14"/>
      <c r="E54" s="14"/>
      <c r="F54" s="15"/>
      <c r="G54" s="5">
        <f t="shared" ref="G54:V72" si="10">D19</f>
        <v>1.06</v>
      </c>
      <c r="H54" s="5">
        <f t="shared" si="10"/>
        <v>1.0950000000000002</v>
      </c>
      <c r="I54" s="5">
        <f t="shared" si="10"/>
        <v>1.1274999999999999</v>
      </c>
      <c r="J54" s="5">
        <f t="shared" si="10"/>
        <v>1.1950000000000001</v>
      </c>
      <c r="K54" s="5">
        <f t="shared" si="10"/>
        <v>1.2450000000000001</v>
      </c>
      <c r="L54" s="5">
        <f t="shared" si="10"/>
        <v>1.3450000000000002</v>
      </c>
      <c r="M54" s="5">
        <f t="shared" si="10"/>
        <v>1.57</v>
      </c>
      <c r="N54" s="5">
        <f t="shared" si="10"/>
        <v>1.6600000000000001</v>
      </c>
      <c r="O54" s="5">
        <f t="shared" si="10"/>
        <v>1.0249999999999999</v>
      </c>
      <c r="P54" s="5">
        <f t="shared" si="10"/>
        <v>1.0249999999999999</v>
      </c>
      <c r="Q54" s="5">
        <f t="shared" si="10"/>
        <v>1.1000000000000001</v>
      </c>
      <c r="R54" s="5">
        <f t="shared" si="10"/>
        <v>1.1500000000000001</v>
      </c>
      <c r="S54" s="5">
        <f t="shared" si="10"/>
        <v>1.1900000000000002</v>
      </c>
      <c r="T54" s="5">
        <f t="shared" si="10"/>
        <v>1.5500000000000003</v>
      </c>
      <c r="U54" s="5">
        <f t="shared" si="10"/>
        <v>1.5750000000000002</v>
      </c>
      <c r="V54" s="5">
        <f t="shared" si="10"/>
        <v>1.6749999999999998</v>
      </c>
    </row>
    <row r="55" spans="1:22" x14ac:dyDescent="0.45">
      <c r="A55" s="1" t="s">
        <v>77</v>
      </c>
      <c r="B55" s="13" t="s">
        <v>78</v>
      </c>
      <c r="C55" s="14"/>
      <c r="D55" s="14"/>
      <c r="E55" s="14"/>
      <c r="F55" s="15"/>
      <c r="G55" s="5">
        <f t="shared" si="10"/>
        <v>0.7975000000000001</v>
      </c>
      <c r="H55" s="5">
        <f t="shared" si="10"/>
        <v>0.83250000000000002</v>
      </c>
      <c r="I55" s="5">
        <f t="shared" si="10"/>
        <v>0.85250000000000004</v>
      </c>
      <c r="J55" s="5">
        <f t="shared" si="10"/>
        <v>0.8899999999999999</v>
      </c>
      <c r="K55" s="5">
        <f t="shared" si="10"/>
        <v>0.98499999999999999</v>
      </c>
      <c r="L55" s="5">
        <f t="shared" si="10"/>
        <v>1.085</v>
      </c>
      <c r="M55" s="5">
        <f t="shared" si="10"/>
        <v>1.2233333333333332</v>
      </c>
      <c r="N55" s="5">
        <f t="shared" si="10"/>
        <v>1.3133333333333332</v>
      </c>
      <c r="O55" s="5">
        <f t="shared" si="10"/>
        <v>1.125</v>
      </c>
      <c r="P55" s="5">
        <f t="shared" si="10"/>
        <v>1.2000000000000002</v>
      </c>
      <c r="Q55" s="5">
        <f t="shared" si="10"/>
        <v>1.325</v>
      </c>
      <c r="R55" s="5">
        <f t="shared" si="10"/>
        <v>1.375</v>
      </c>
      <c r="S55" s="5">
        <f t="shared" si="10"/>
        <v>1.415</v>
      </c>
      <c r="T55" s="5">
        <f t="shared" si="10"/>
        <v>1.5249999999999999</v>
      </c>
      <c r="U55" s="5">
        <f t="shared" si="10"/>
        <v>1.55</v>
      </c>
      <c r="V55" s="5">
        <f t="shared" si="10"/>
        <v>1.625</v>
      </c>
    </row>
    <row r="56" spans="1:22" ht="13.5" customHeight="1" x14ac:dyDescent="0.45">
      <c r="A56" s="1" t="s">
        <v>79</v>
      </c>
      <c r="B56" s="13" t="s">
        <v>80</v>
      </c>
      <c r="C56" s="14"/>
      <c r="D56" s="14"/>
      <c r="E56" s="14"/>
      <c r="F56" s="16"/>
      <c r="G56" s="5">
        <f t="shared" si="10"/>
        <v>0.91499999999999992</v>
      </c>
      <c r="H56" s="5">
        <f t="shared" si="10"/>
        <v>0.94499999999999995</v>
      </c>
      <c r="I56" s="5">
        <f t="shared" si="10"/>
        <v>0.94499999999999995</v>
      </c>
      <c r="J56" s="5">
        <f t="shared" si="10"/>
        <v>0.97250000000000003</v>
      </c>
      <c r="K56" s="5">
        <f t="shared" si="10"/>
        <v>1.06</v>
      </c>
      <c r="L56" s="5">
        <f t="shared" si="10"/>
        <v>1.1600000000000001</v>
      </c>
      <c r="M56" s="5">
        <f t="shared" si="10"/>
        <v>1.3233333333333333</v>
      </c>
      <c r="N56" s="5">
        <f t="shared" si="10"/>
        <v>1.4133333333333333</v>
      </c>
      <c r="O56" s="5">
        <f t="shared" si="10"/>
        <v>1.1499999999999999</v>
      </c>
      <c r="P56" s="5">
        <f t="shared" si="10"/>
        <v>1.25</v>
      </c>
      <c r="Q56" s="5">
        <f t="shared" si="10"/>
        <v>1.375</v>
      </c>
      <c r="R56" s="5">
        <f t="shared" si="10"/>
        <v>1.425</v>
      </c>
      <c r="S56" s="5">
        <f t="shared" si="10"/>
        <v>1.4650000000000001</v>
      </c>
      <c r="T56" s="5">
        <f t="shared" si="10"/>
        <v>1.425</v>
      </c>
      <c r="U56" s="5">
        <f t="shared" si="10"/>
        <v>1.5249999999999999</v>
      </c>
      <c r="V56" s="5">
        <f t="shared" si="10"/>
        <v>1.6</v>
      </c>
    </row>
    <row r="57" spans="1:22" x14ac:dyDescent="0.45">
      <c r="A57" s="1" t="s">
        <v>81</v>
      </c>
      <c r="B57" s="6" t="s">
        <v>82</v>
      </c>
      <c r="C57" s="7"/>
      <c r="D57" s="7"/>
      <c r="E57" s="7"/>
      <c r="F57" s="7"/>
      <c r="G57" s="5">
        <f t="shared" si="10"/>
        <v>0.71250000000000002</v>
      </c>
      <c r="H57" s="5">
        <f t="shared" si="10"/>
        <v>0.73250000000000004</v>
      </c>
      <c r="I57" s="5">
        <f t="shared" si="10"/>
        <v>0.78249999999999997</v>
      </c>
      <c r="J57" s="5">
        <f t="shared" si="10"/>
        <v>0.81249999999999989</v>
      </c>
      <c r="K57" s="5">
        <f t="shared" si="10"/>
        <v>0.84000000000000008</v>
      </c>
      <c r="L57" s="5">
        <f t="shared" si="10"/>
        <v>0.94000000000000006</v>
      </c>
      <c r="M57" s="5">
        <f t="shared" si="10"/>
        <v>1.03</v>
      </c>
      <c r="N57" s="5">
        <f t="shared" si="10"/>
        <v>1.1200000000000001</v>
      </c>
      <c r="O57" s="5">
        <f t="shared" si="10"/>
        <v>1.2250000000000001</v>
      </c>
      <c r="P57" s="5">
        <f t="shared" si="10"/>
        <v>1.4249999999999998</v>
      </c>
      <c r="Q57" s="5">
        <f t="shared" si="10"/>
        <v>1.6</v>
      </c>
      <c r="R57" s="5">
        <f t="shared" si="10"/>
        <v>1.6500000000000001</v>
      </c>
      <c r="S57" s="5">
        <f t="shared" si="10"/>
        <v>1.6900000000000002</v>
      </c>
      <c r="T57" s="5">
        <f t="shared" si="10"/>
        <v>1.4249999999999998</v>
      </c>
      <c r="U57" s="5">
        <f t="shared" si="10"/>
        <v>1.5499999999999998</v>
      </c>
      <c r="V57" s="5">
        <f t="shared" si="10"/>
        <v>1.6500000000000001</v>
      </c>
    </row>
    <row r="58" spans="1:22" x14ac:dyDescent="0.45">
      <c r="A58" s="8" t="s">
        <v>83</v>
      </c>
      <c r="B58" t="s">
        <v>84</v>
      </c>
      <c r="G58" s="5">
        <f t="shared" si="10"/>
        <v>0.85750000000000004</v>
      </c>
      <c r="H58" s="5">
        <f t="shared" si="10"/>
        <v>0.88500000000000001</v>
      </c>
      <c r="I58" s="5">
        <f t="shared" si="10"/>
        <v>0.92500000000000004</v>
      </c>
      <c r="J58" s="5">
        <f t="shared" si="10"/>
        <v>0.97</v>
      </c>
      <c r="K58" s="5">
        <f t="shared" si="10"/>
        <v>1.0350000000000001</v>
      </c>
      <c r="L58" s="5">
        <f t="shared" si="10"/>
        <v>1.1350000000000002</v>
      </c>
      <c r="M58" s="5">
        <f t="shared" si="10"/>
        <v>1.29</v>
      </c>
      <c r="N58" s="5">
        <f t="shared" si="10"/>
        <v>1.3800000000000001</v>
      </c>
      <c r="O58" s="5">
        <f t="shared" si="10"/>
        <v>1.175</v>
      </c>
      <c r="P58" s="5">
        <f t="shared" si="10"/>
        <v>1.2749999999999999</v>
      </c>
      <c r="Q58" s="5">
        <f t="shared" si="10"/>
        <v>1.4</v>
      </c>
      <c r="R58" s="5">
        <f t="shared" si="10"/>
        <v>1.45</v>
      </c>
      <c r="S58" s="5">
        <f t="shared" si="10"/>
        <v>1.49</v>
      </c>
      <c r="T58" s="5">
        <f t="shared" si="10"/>
        <v>1.4750000000000001</v>
      </c>
      <c r="U58" s="5">
        <f t="shared" si="10"/>
        <v>1.5750000000000002</v>
      </c>
      <c r="V58" s="5">
        <f t="shared" si="10"/>
        <v>1.65</v>
      </c>
    </row>
    <row r="59" spans="1:22" x14ac:dyDescent="0.45">
      <c r="A59" s="8" t="s">
        <v>85</v>
      </c>
      <c r="B59" t="s">
        <v>86</v>
      </c>
      <c r="G59" s="5">
        <f t="shared" si="10"/>
        <v>0.8125</v>
      </c>
      <c r="H59" s="5">
        <f t="shared" si="10"/>
        <v>0.84</v>
      </c>
      <c r="I59" s="5">
        <f t="shared" si="10"/>
        <v>0.86750000000000005</v>
      </c>
      <c r="J59" s="5">
        <f t="shared" si="10"/>
        <v>0.91499999999999992</v>
      </c>
      <c r="K59" s="5">
        <f t="shared" si="10"/>
        <v>0.97499999999999998</v>
      </c>
      <c r="L59" s="5">
        <f t="shared" si="10"/>
        <v>1.075</v>
      </c>
      <c r="M59" s="5">
        <f t="shared" si="10"/>
        <v>1.21</v>
      </c>
      <c r="N59" s="5">
        <f t="shared" si="10"/>
        <v>1.3</v>
      </c>
      <c r="O59" s="5">
        <f t="shared" si="10"/>
        <v>1.1500000000000001</v>
      </c>
      <c r="P59" s="5">
        <f t="shared" si="10"/>
        <v>1.2</v>
      </c>
      <c r="Q59" s="5">
        <f t="shared" si="10"/>
        <v>1.3499999999999999</v>
      </c>
      <c r="R59" s="5">
        <f t="shared" si="10"/>
        <v>1.4</v>
      </c>
      <c r="S59" s="5">
        <f t="shared" si="10"/>
        <v>1.44</v>
      </c>
      <c r="T59" s="5">
        <f t="shared" si="10"/>
        <v>1.55</v>
      </c>
      <c r="U59" s="5">
        <f t="shared" si="10"/>
        <v>1.5750000000000002</v>
      </c>
      <c r="V59" s="5">
        <f t="shared" si="10"/>
        <v>1.65</v>
      </c>
    </row>
    <row r="60" spans="1:22" x14ac:dyDescent="0.45">
      <c r="A60" s="8" t="s">
        <v>87</v>
      </c>
      <c r="B60" t="s">
        <v>88</v>
      </c>
      <c r="G60" s="5">
        <f t="shared" si="10"/>
        <v>0.97250000000000003</v>
      </c>
      <c r="H60" s="5">
        <f t="shared" si="10"/>
        <v>1.0175000000000001</v>
      </c>
      <c r="I60" s="5">
        <f t="shared" si="10"/>
        <v>1.0649999999999999</v>
      </c>
      <c r="J60" s="5">
        <f t="shared" si="10"/>
        <v>1.0825</v>
      </c>
      <c r="K60" s="5">
        <f t="shared" si="10"/>
        <v>1.135</v>
      </c>
      <c r="L60" s="5">
        <f t="shared" si="10"/>
        <v>1.2350000000000001</v>
      </c>
      <c r="M60" s="5">
        <f t="shared" si="10"/>
        <v>1.4233333333333333</v>
      </c>
      <c r="N60" s="5">
        <f t="shared" si="10"/>
        <v>1.5133333333333334</v>
      </c>
      <c r="O60" s="5">
        <f t="shared" si="10"/>
        <v>1.05</v>
      </c>
      <c r="P60" s="5">
        <f t="shared" si="10"/>
        <v>1.05</v>
      </c>
      <c r="Q60" s="5">
        <f t="shared" si="10"/>
        <v>1.125</v>
      </c>
      <c r="R60" s="5">
        <f t="shared" si="10"/>
        <v>1.175</v>
      </c>
      <c r="S60" s="5">
        <f t="shared" si="10"/>
        <v>1.2150000000000001</v>
      </c>
      <c r="T60" s="5">
        <f t="shared" si="10"/>
        <v>1.5499999999999998</v>
      </c>
      <c r="U60" s="5">
        <f t="shared" si="10"/>
        <v>1.5750000000000002</v>
      </c>
      <c r="V60" s="5">
        <f t="shared" si="10"/>
        <v>1.625</v>
      </c>
    </row>
    <row r="61" spans="1:22" x14ac:dyDescent="0.45">
      <c r="A61" s="8" t="s">
        <v>89</v>
      </c>
      <c r="B61" t="s">
        <v>90</v>
      </c>
      <c r="G61" s="5">
        <f t="shared" si="10"/>
        <v>0.89</v>
      </c>
      <c r="H61" s="5">
        <f t="shared" si="10"/>
        <v>0.92749999999999999</v>
      </c>
      <c r="I61" s="5">
        <f t="shared" si="10"/>
        <v>0.94750000000000001</v>
      </c>
      <c r="J61" s="5">
        <f t="shared" si="10"/>
        <v>1.0049999999999999</v>
      </c>
      <c r="K61" s="5">
        <f t="shared" si="10"/>
        <v>1.0649999999999999</v>
      </c>
      <c r="L61" s="5">
        <f t="shared" si="10"/>
        <v>1.165</v>
      </c>
      <c r="M61" s="5">
        <f t="shared" si="10"/>
        <v>1.3299999999999998</v>
      </c>
      <c r="N61" s="5">
        <f t="shared" si="10"/>
        <v>1.42</v>
      </c>
      <c r="O61" s="5">
        <f t="shared" si="10"/>
        <v>1.125</v>
      </c>
      <c r="P61" s="5">
        <f t="shared" si="10"/>
        <v>1.175</v>
      </c>
      <c r="Q61" s="5">
        <f t="shared" si="10"/>
        <v>1.3250000000000002</v>
      </c>
      <c r="R61" s="5">
        <f t="shared" si="10"/>
        <v>1.3750000000000002</v>
      </c>
      <c r="S61" s="5">
        <f t="shared" si="10"/>
        <v>1.4150000000000003</v>
      </c>
      <c r="T61" s="5">
        <f t="shared" si="10"/>
        <v>1.5750000000000002</v>
      </c>
      <c r="U61" s="5">
        <f t="shared" si="10"/>
        <v>1.6</v>
      </c>
      <c r="V61" s="5">
        <f t="shared" si="10"/>
        <v>1.625</v>
      </c>
    </row>
    <row r="62" spans="1:22" x14ac:dyDescent="0.45">
      <c r="A62" s="8" t="s">
        <v>91</v>
      </c>
      <c r="B62" t="s">
        <v>92</v>
      </c>
      <c r="G62" s="5">
        <f t="shared" si="10"/>
        <v>0.82250000000000001</v>
      </c>
      <c r="H62" s="5">
        <f t="shared" si="10"/>
        <v>0.86</v>
      </c>
      <c r="I62" s="5">
        <f t="shared" si="10"/>
        <v>0.89500000000000002</v>
      </c>
      <c r="J62" s="5">
        <f t="shared" si="10"/>
        <v>0.92500000000000004</v>
      </c>
      <c r="K62" s="5">
        <f t="shared" si="10"/>
        <v>1.0125</v>
      </c>
      <c r="L62" s="5">
        <f t="shared" si="10"/>
        <v>1.1125</v>
      </c>
      <c r="M62" s="5">
        <f t="shared" si="10"/>
        <v>1.2599999999999998</v>
      </c>
      <c r="N62" s="5">
        <f t="shared" si="10"/>
        <v>1.3499999999999999</v>
      </c>
      <c r="O62" s="5">
        <f t="shared" si="10"/>
        <v>1.1749999999999998</v>
      </c>
      <c r="P62" s="5">
        <f t="shared" si="10"/>
        <v>1.25</v>
      </c>
      <c r="Q62" s="5">
        <f t="shared" si="10"/>
        <v>1.4750000000000001</v>
      </c>
      <c r="R62" s="5">
        <f t="shared" si="10"/>
        <v>1.5250000000000001</v>
      </c>
      <c r="S62" s="5">
        <f t="shared" si="10"/>
        <v>1.5650000000000002</v>
      </c>
      <c r="T62" s="5">
        <f t="shared" si="10"/>
        <v>1.5499999999999998</v>
      </c>
      <c r="U62" s="5">
        <f t="shared" si="10"/>
        <v>1.65</v>
      </c>
      <c r="V62" s="5">
        <f t="shared" si="10"/>
        <v>1.7</v>
      </c>
    </row>
    <row r="63" spans="1:22" x14ac:dyDescent="0.45">
      <c r="A63" s="8" t="s">
        <v>93</v>
      </c>
      <c r="B63" t="s">
        <v>94</v>
      </c>
      <c r="G63" s="5">
        <f t="shared" si="10"/>
        <v>0.77500000000000013</v>
      </c>
      <c r="H63" s="5">
        <f t="shared" si="10"/>
        <v>0.8</v>
      </c>
      <c r="I63" s="5">
        <f t="shared" si="10"/>
        <v>0.82750000000000012</v>
      </c>
      <c r="J63" s="5">
        <f t="shared" si="10"/>
        <v>0.88</v>
      </c>
      <c r="K63" s="5">
        <f t="shared" si="10"/>
        <v>0.93749999999999989</v>
      </c>
      <c r="L63" s="5">
        <f t="shared" si="10"/>
        <v>1.0374999999999999</v>
      </c>
      <c r="M63" s="5">
        <f t="shared" si="10"/>
        <v>1.1599999999999997</v>
      </c>
      <c r="N63" s="5">
        <f t="shared" si="10"/>
        <v>1.2499999999999998</v>
      </c>
      <c r="O63" s="5">
        <f t="shared" si="10"/>
        <v>1.1000000000000001</v>
      </c>
      <c r="P63" s="5">
        <f t="shared" si="10"/>
        <v>1.1000000000000001</v>
      </c>
      <c r="Q63" s="5">
        <f t="shared" si="10"/>
        <v>1.2</v>
      </c>
      <c r="R63" s="5">
        <f t="shared" si="10"/>
        <v>1.25</v>
      </c>
      <c r="S63" s="5">
        <f t="shared" si="10"/>
        <v>1.29</v>
      </c>
      <c r="T63" s="5">
        <f t="shared" si="10"/>
        <v>1.45</v>
      </c>
      <c r="U63" s="5">
        <f t="shared" si="10"/>
        <v>1.5750000000000002</v>
      </c>
      <c r="V63" s="5">
        <f t="shared" si="10"/>
        <v>1.6500000000000001</v>
      </c>
    </row>
    <row r="64" spans="1:22" x14ac:dyDescent="0.45">
      <c r="A64" s="8" t="s">
        <v>95</v>
      </c>
      <c r="B64" t="s">
        <v>96</v>
      </c>
      <c r="G64" s="5">
        <f t="shared" si="10"/>
        <v>0.75250000000000006</v>
      </c>
      <c r="H64" s="5">
        <f t="shared" si="10"/>
        <v>0.77249999999999996</v>
      </c>
      <c r="I64" s="5">
        <f t="shared" si="10"/>
        <v>0.79</v>
      </c>
      <c r="J64" s="5">
        <f t="shared" si="10"/>
        <v>0.93499999999999994</v>
      </c>
      <c r="K64" s="5">
        <f t="shared" si="10"/>
        <v>0.99750000000000005</v>
      </c>
      <c r="L64" s="5">
        <f t="shared" si="10"/>
        <v>1.0975000000000001</v>
      </c>
      <c r="M64" s="5">
        <f t="shared" si="10"/>
        <v>1.24</v>
      </c>
      <c r="N64" s="5">
        <f t="shared" si="10"/>
        <v>1.33</v>
      </c>
      <c r="O64" s="5">
        <f t="shared" si="10"/>
        <v>1.1000000000000001</v>
      </c>
      <c r="P64" s="5">
        <f t="shared" si="10"/>
        <v>1.125</v>
      </c>
      <c r="Q64" s="5">
        <f t="shared" si="10"/>
        <v>1.175</v>
      </c>
      <c r="R64" s="5">
        <f t="shared" si="10"/>
        <v>1.2250000000000001</v>
      </c>
      <c r="S64" s="5">
        <f t="shared" si="10"/>
        <v>1.2650000000000001</v>
      </c>
      <c r="T64" s="5">
        <f t="shared" si="10"/>
        <v>5.45</v>
      </c>
      <c r="U64" s="5">
        <f t="shared" si="10"/>
        <v>1.65</v>
      </c>
      <c r="V64" s="5">
        <f t="shared" si="10"/>
        <v>1.65</v>
      </c>
    </row>
    <row r="65" spans="1:22" x14ac:dyDescent="0.45">
      <c r="A65" s="8" t="s">
        <v>97</v>
      </c>
      <c r="B65" t="s">
        <v>98</v>
      </c>
      <c r="G65" s="5">
        <f t="shared" si="10"/>
        <v>0.78500000000000003</v>
      </c>
      <c r="H65" s="5">
        <f t="shared" si="10"/>
        <v>0.83250000000000002</v>
      </c>
      <c r="I65" s="5">
        <f t="shared" si="10"/>
        <v>0.86</v>
      </c>
      <c r="J65" s="5">
        <f t="shared" si="10"/>
        <v>0.94499999999999995</v>
      </c>
      <c r="K65" s="5">
        <f t="shared" si="10"/>
        <v>1.0349999999999999</v>
      </c>
      <c r="L65" s="5">
        <f t="shared" si="10"/>
        <v>1.135</v>
      </c>
      <c r="M65" s="5">
        <f t="shared" si="10"/>
        <v>1.2899999999999998</v>
      </c>
      <c r="N65" s="5">
        <f t="shared" si="10"/>
        <v>1.38</v>
      </c>
      <c r="O65" s="5">
        <f t="shared" si="10"/>
        <v>1.1000000000000001</v>
      </c>
      <c r="P65" s="5">
        <f t="shared" si="10"/>
        <v>1.125</v>
      </c>
      <c r="Q65" s="5">
        <f t="shared" si="10"/>
        <v>1.175</v>
      </c>
      <c r="R65" s="5">
        <f t="shared" si="10"/>
        <v>1.2250000000000001</v>
      </c>
      <c r="S65" s="5">
        <f t="shared" si="10"/>
        <v>1.2650000000000001</v>
      </c>
      <c r="T65" s="5">
        <f t="shared" si="10"/>
        <v>1.4249999999999998</v>
      </c>
      <c r="U65" s="5">
        <f t="shared" si="10"/>
        <v>1.5</v>
      </c>
      <c r="V65" s="5">
        <f t="shared" si="10"/>
        <v>1.625</v>
      </c>
    </row>
    <row r="66" spans="1:22" x14ac:dyDescent="0.45">
      <c r="G66" s="5">
        <f t="shared" si="10"/>
        <v>0.80249999999999999</v>
      </c>
      <c r="H66" s="5">
        <f t="shared" si="10"/>
        <v>0.85000000000000009</v>
      </c>
      <c r="I66" s="5">
        <f t="shared" si="10"/>
        <v>0.88749999999999996</v>
      </c>
      <c r="J66" s="5">
        <f t="shared" si="10"/>
        <v>1.0175000000000001</v>
      </c>
      <c r="K66" s="5">
        <f t="shared" si="10"/>
        <v>1.0775000000000001</v>
      </c>
      <c r="L66" s="5">
        <f t="shared" si="10"/>
        <v>1.1775000000000002</v>
      </c>
      <c r="M66" s="5">
        <f t="shared" si="10"/>
        <v>1.3466666666666667</v>
      </c>
      <c r="N66" s="5">
        <f t="shared" si="10"/>
        <v>1.4366666666666668</v>
      </c>
      <c r="O66" s="5">
        <f t="shared" si="10"/>
        <v>1.2</v>
      </c>
      <c r="P66" s="5">
        <f t="shared" si="10"/>
        <v>1.2749999999999999</v>
      </c>
      <c r="Q66" s="5">
        <f t="shared" si="10"/>
        <v>1.4750000000000001</v>
      </c>
      <c r="R66" s="5">
        <f t="shared" si="10"/>
        <v>1.5250000000000001</v>
      </c>
      <c r="S66" s="5">
        <f t="shared" si="10"/>
        <v>1.5650000000000002</v>
      </c>
      <c r="T66" s="5">
        <f t="shared" si="10"/>
        <v>1.625</v>
      </c>
      <c r="U66" s="5">
        <f t="shared" si="10"/>
        <v>1.675</v>
      </c>
      <c r="V66" s="5">
        <f t="shared" si="10"/>
        <v>1.7249999999999999</v>
      </c>
    </row>
    <row r="67" spans="1:22" x14ac:dyDescent="0.45">
      <c r="G67" s="5">
        <f t="shared" si="10"/>
        <v>1.115</v>
      </c>
      <c r="H67" s="5">
        <f t="shared" si="10"/>
        <v>1.1600000000000001</v>
      </c>
      <c r="I67" s="5">
        <f t="shared" si="10"/>
        <v>1.0874999999999999</v>
      </c>
      <c r="J67" s="5">
        <f t="shared" si="10"/>
        <v>1.1300000000000001</v>
      </c>
      <c r="K67" s="5">
        <f t="shared" si="10"/>
        <v>1.1925000000000001</v>
      </c>
      <c r="L67" s="5">
        <f t="shared" si="10"/>
        <v>1.2925000000000002</v>
      </c>
      <c r="M67" s="5">
        <f t="shared" si="10"/>
        <v>1.5</v>
      </c>
      <c r="N67" s="5">
        <f t="shared" si="10"/>
        <v>1.59</v>
      </c>
      <c r="O67" s="5">
        <f t="shared" si="10"/>
        <v>1.175</v>
      </c>
      <c r="P67" s="5">
        <f t="shared" si="10"/>
        <v>1.25</v>
      </c>
      <c r="Q67" s="5">
        <f t="shared" si="10"/>
        <v>1.325</v>
      </c>
      <c r="R67" s="5">
        <f t="shared" si="10"/>
        <v>1.375</v>
      </c>
      <c r="S67" s="5">
        <f t="shared" si="10"/>
        <v>1.415</v>
      </c>
      <c r="T67" s="5">
        <f t="shared" si="10"/>
        <v>1.65</v>
      </c>
      <c r="U67" s="5">
        <f t="shared" si="10"/>
        <v>1.6749999999999998</v>
      </c>
      <c r="V67" s="5">
        <f t="shared" si="10"/>
        <v>1.7</v>
      </c>
    </row>
    <row r="68" spans="1:22" x14ac:dyDescent="0.45">
      <c r="G68" s="5">
        <f t="shared" si="10"/>
        <v>0.92749999999999999</v>
      </c>
      <c r="H68" s="5">
        <f t="shared" si="10"/>
        <v>0.95500000000000007</v>
      </c>
      <c r="I68" s="5">
        <f t="shared" si="10"/>
        <v>0.99500000000000011</v>
      </c>
      <c r="J68" s="5">
        <f t="shared" si="10"/>
        <v>1.0274999999999999</v>
      </c>
      <c r="K68" s="5">
        <f t="shared" si="10"/>
        <v>1.08</v>
      </c>
      <c r="L68" s="5">
        <f t="shared" si="10"/>
        <v>1.1800000000000002</v>
      </c>
      <c r="M68" s="5">
        <f t="shared" si="10"/>
        <v>1.35</v>
      </c>
      <c r="N68" s="5">
        <f t="shared" si="10"/>
        <v>1.4400000000000002</v>
      </c>
      <c r="O68" s="5">
        <f t="shared" si="10"/>
        <v>1.1000000000000001</v>
      </c>
      <c r="P68" s="5">
        <f t="shared" si="10"/>
        <v>1.1000000000000001</v>
      </c>
      <c r="Q68" s="5">
        <f t="shared" si="10"/>
        <v>1.2000000000000002</v>
      </c>
      <c r="R68" s="5">
        <f t="shared" si="10"/>
        <v>1.2500000000000002</v>
      </c>
      <c r="S68" s="5">
        <f t="shared" si="10"/>
        <v>1.2900000000000003</v>
      </c>
      <c r="T68" s="5">
        <f t="shared" si="10"/>
        <v>1.45</v>
      </c>
      <c r="U68" s="5">
        <f t="shared" si="10"/>
        <v>1.5249999999999999</v>
      </c>
      <c r="V68" s="5">
        <f t="shared" si="10"/>
        <v>1.6500000000000001</v>
      </c>
    </row>
    <row r="69" spans="1:22" x14ac:dyDescent="0.45">
      <c r="G69" s="5">
        <f t="shared" si="10"/>
        <v>0.92999999999999994</v>
      </c>
      <c r="H69" s="5">
        <f t="shared" si="10"/>
        <v>0.96250000000000002</v>
      </c>
      <c r="I69" s="5">
        <f t="shared" si="10"/>
        <v>0.99750000000000005</v>
      </c>
      <c r="J69" s="5">
        <f t="shared" si="10"/>
        <v>1.125</v>
      </c>
      <c r="K69" s="5">
        <f t="shared" si="10"/>
        <v>1.1775</v>
      </c>
      <c r="L69" s="5">
        <f t="shared" si="10"/>
        <v>1.2775000000000001</v>
      </c>
      <c r="M69" s="5">
        <f t="shared" si="10"/>
        <v>1.48</v>
      </c>
      <c r="N69" s="5">
        <f t="shared" si="10"/>
        <v>1.57</v>
      </c>
      <c r="O69" s="5">
        <f t="shared" si="10"/>
        <v>1.125</v>
      </c>
      <c r="P69" s="5">
        <f t="shared" si="10"/>
        <v>1.175</v>
      </c>
      <c r="Q69" s="5">
        <f t="shared" si="10"/>
        <v>1.2749999999999999</v>
      </c>
      <c r="R69" s="5">
        <f t="shared" si="10"/>
        <v>1.325</v>
      </c>
      <c r="S69" s="5">
        <f t="shared" si="10"/>
        <v>1.365</v>
      </c>
      <c r="T69" s="5">
        <f t="shared" si="10"/>
        <v>1.5249999999999999</v>
      </c>
      <c r="U69" s="5">
        <f t="shared" si="10"/>
        <v>1.625</v>
      </c>
      <c r="V69" s="5">
        <f t="shared" ref="O69:V72" si="11">S34</f>
        <v>1.6500000000000001</v>
      </c>
    </row>
    <row r="70" spans="1:22" x14ac:dyDescent="0.45">
      <c r="G70" s="5">
        <f t="shared" ref="G70:L72" si="12">D35</f>
        <v>0.95499999999999996</v>
      </c>
      <c r="H70" s="5">
        <f t="shared" si="12"/>
        <v>0.98750000000000004</v>
      </c>
      <c r="I70" s="5">
        <f t="shared" si="12"/>
        <v>1.0375000000000001</v>
      </c>
      <c r="J70" s="5">
        <f t="shared" si="12"/>
        <v>1.2050000000000001</v>
      </c>
      <c r="K70" s="5">
        <f t="shared" si="12"/>
        <v>1.2375</v>
      </c>
      <c r="L70" s="5">
        <f t="shared" si="12"/>
        <v>1.3375000000000001</v>
      </c>
      <c r="M70" s="5">
        <f>J35</f>
        <v>1.56</v>
      </c>
      <c r="N70" s="5">
        <f t="shared" ref="N70:N72" si="13">K35</f>
        <v>1.6500000000000001</v>
      </c>
      <c r="O70" s="5">
        <f t="shared" si="11"/>
        <v>1.125</v>
      </c>
      <c r="P70" s="5">
        <f t="shared" si="11"/>
        <v>1.1499999999999999</v>
      </c>
      <c r="Q70" s="5">
        <f t="shared" si="11"/>
        <v>1.2249999999999999</v>
      </c>
      <c r="R70" s="5">
        <f t="shared" si="11"/>
        <v>1.2749999999999999</v>
      </c>
      <c r="S70" s="5">
        <f t="shared" si="11"/>
        <v>1.3149999999999999</v>
      </c>
      <c r="T70" s="5">
        <f t="shared" si="11"/>
        <v>1.5</v>
      </c>
      <c r="U70" s="5">
        <f t="shared" si="11"/>
        <v>1.6</v>
      </c>
      <c r="V70" s="5">
        <f t="shared" si="11"/>
        <v>1.65</v>
      </c>
    </row>
  </sheetData>
  <mergeCells count="22">
    <mergeCell ref="B54:E54"/>
    <mergeCell ref="B55:E55"/>
    <mergeCell ref="B56:F56"/>
    <mergeCell ref="AB2:AE2"/>
    <mergeCell ref="B48:E48"/>
    <mergeCell ref="B49:E49"/>
    <mergeCell ref="B50:E50"/>
    <mergeCell ref="B51:E51"/>
    <mergeCell ref="B52:E52"/>
    <mergeCell ref="B53:E53"/>
    <mergeCell ref="B42:E42"/>
    <mergeCell ref="B43:E43"/>
    <mergeCell ref="B44:E44"/>
    <mergeCell ref="B45:E45"/>
    <mergeCell ref="B46:E46"/>
    <mergeCell ref="B47:E47"/>
    <mergeCell ref="D2:W2"/>
    <mergeCell ref="B37:C37"/>
    <mergeCell ref="B38:D38"/>
    <mergeCell ref="B39:D39"/>
    <mergeCell ref="B40:D40"/>
    <mergeCell ref="B41:E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carretillo</dc:creator>
  <cp:lastModifiedBy>carlos carretillo</cp:lastModifiedBy>
  <dcterms:created xsi:type="dcterms:W3CDTF">2025-08-09T02:49:32Z</dcterms:created>
  <dcterms:modified xsi:type="dcterms:W3CDTF">2025-08-09T02:54:11Z</dcterms:modified>
</cp:coreProperties>
</file>